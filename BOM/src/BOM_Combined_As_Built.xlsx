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of Materials" sheetId="1" state="visible" r:id="rId1"/>
    <sheet xmlns:r="http://schemas.openxmlformats.org/officeDocument/2006/relationships" name="Excluded - Not Used" sheetId="2" state="visible" r:id="rId2"/>
  </sheets>
  <definedNames>
    <definedName name="_xlnm.Print_Titles" localSheetId="0">'Bill of Materials'!$7:$7</definedName>
    <definedName name="_xlnm.Print_Titles" localSheetId="1">'Excluded - Not Used'!$1:$1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164" fontId="0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I4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28" customWidth="1" min="3" max="3"/>
    <col width="60" customWidth="1" min="4" max="4"/>
    <col width="10" customWidth="1" min="5" max="5"/>
    <col width="8" customWidth="1" min="6" max="6"/>
    <col width="36" customWidth="1" min="7" max="7"/>
    <col width="12" customWidth="1" min="8" max="8"/>
    <col width="14" customWidth="1" min="9" max="9"/>
  </cols>
  <sheetData>
    <row r="1" ht="20" customHeight="1">
      <c r="B1" s="1" t="inlineStr">
        <is>
          <t>PRODUCT NAME</t>
        </is>
      </c>
      <c r="C1" t="inlineStr">
        <is>
          <t>Shredder</t>
        </is>
      </c>
      <c r="D1" s="1" t="inlineStr">
        <is>
          <t>EE TEAM</t>
        </is>
      </c>
    </row>
    <row r="2" ht="20" customHeight="1">
      <c r="B2" s="1" t="inlineStr">
        <is>
          <t>APPROVED BY</t>
        </is>
      </c>
      <c r="D2" s="1" t="inlineStr">
        <is>
          <t>Fearghus Tyler</t>
        </is>
      </c>
    </row>
    <row r="3" ht="20" customHeight="1">
      <c r="B3" s="1" t="inlineStr">
        <is>
          <t>DATE OF APPROVAL</t>
        </is>
      </c>
      <c r="C3" t="inlineStr">
        <is>
          <t>2026-06-01</t>
        </is>
      </c>
      <c r="D3" s="1" t="inlineStr">
        <is>
          <t>Bao Nguyen</t>
        </is>
      </c>
    </row>
    <row r="4" ht="20" customHeight="1">
      <c r="B4" s="1" t="inlineStr">
        <is>
          <t>PART COUNT</t>
        </is>
      </c>
      <c r="C4" s="2">
        <f>SUM(E8:E47)</f>
        <v/>
      </c>
      <c r="D4" s="1" t="inlineStr">
        <is>
          <t>Yaqoub Rabiah</t>
        </is>
      </c>
    </row>
    <row r="5" ht="20" customHeight="1">
      <c r="B5" s="1" t="inlineStr">
        <is>
          <t>TOTAL COST</t>
        </is>
      </c>
      <c r="C5" s="3">
        <f>SUM(I8:I47)</f>
        <v/>
      </c>
      <c r="D5" s="1" t="inlineStr">
        <is>
          <t>Fox Kang</t>
        </is>
      </c>
    </row>
    <row r="6" ht="20" customHeight="1"/>
    <row r="7" ht="30" customHeight="1">
      <c r="B7" s="4" t="inlineStr">
        <is>
          <t>PART NUMBER</t>
        </is>
      </c>
      <c r="C7" s="4" t="inlineStr">
        <is>
          <t>PART NAME</t>
        </is>
      </c>
      <c r="D7" s="4" t="inlineStr">
        <is>
          <t>DESCRIPTION</t>
        </is>
      </c>
      <c r="E7" s="4" t="inlineStr">
        <is>
          <t>QUANTITY</t>
        </is>
      </c>
      <c r="F7" s="4" t="inlineStr">
        <is>
          <t>UNITS</t>
        </is>
      </c>
      <c r="G7" s="4" t="inlineStr">
        <is>
          <t>LINK</t>
        </is>
      </c>
      <c r="H7" s="4" t="inlineStr">
        <is>
          <t>UNIT COST</t>
        </is>
      </c>
      <c r="I7" s="4" t="inlineStr">
        <is>
          <t>AMOUNT</t>
        </is>
      </c>
    </row>
    <row r="8">
      <c r="B8" s="5" t="inlineStr">
        <is>
          <t>5KE182BC205B</t>
        </is>
      </c>
      <c r="C8" s="5" t="inlineStr">
        <is>
          <t>AC Motor (3 HP)</t>
        </is>
      </c>
      <c r="D8" s="5" t="inlineStr">
        <is>
          <t>GE 3-phase TEFC induction motor; 230 V (low-voltage), 1750 RPM, 7.6 A FLA, NEMA 182T frame. Bench-test motor.</t>
        </is>
      </c>
      <c r="E8" s="6" t="n">
        <v>1</v>
      </c>
      <c r="F8" s="6" t="inlineStr">
        <is>
          <t>EA</t>
        </is>
      </c>
      <c r="G8" s="5" t="inlineStr">
        <is>
          <t>https://www.electricmotorsforless.com/</t>
        </is>
      </c>
      <c r="H8" s="7" t="n">
        <v>0</v>
      </c>
      <c r="I8" s="7">
        <f>E8*H8</f>
        <v/>
      </c>
    </row>
    <row r="9">
      <c r="B9" s="5" t="inlineStr">
        <is>
          <t>HY02D211B-T</t>
        </is>
      </c>
      <c r="C9" s="5" t="inlineStr">
        <is>
          <t>VFD</t>
        </is>
      </c>
      <c r="D9" s="5" t="inlineStr">
        <is>
          <t>Huanyang variable frequency drive, 110 V single-phase input, 220 V 3-phase output, 2.2 kW (3 HP). Selected via decision matrix.</t>
        </is>
      </c>
      <c r="E9" s="6" t="n">
        <v>1</v>
      </c>
      <c r="F9" s="6" t="inlineStr">
        <is>
          <t>EA</t>
        </is>
      </c>
      <c r="G9" s="5" t="inlineStr">
        <is>
          <t>https://www.amazon.com/Huanyang-1-Phase-Variable-Frequency-Output-3hp/dp/B0DMF3GB38</t>
        </is>
      </c>
      <c r="H9" s="7" t="n">
        <v>200</v>
      </c>
      <c r="I9" s="7">
        <f>E9*H9</f>
        <v/>
      </c>
    </row>
    <row r="10">
      <c r="B10" s="5" t="inlineStr">
        <is>
          <t>APCS-300R30-AD</t>
        </is>
      </c>
      <c r="C10" s="5" t="inlineStr">
        <is>
          <t>Brake Resistor</t>
        </is>
      </c>
      <c r="D10" s="5" t="inlineStr">
        <is>
          <t>LS Electric 300 W, 30 ohm aluminum-clad braking resistor for VFD dynamic braking on P+/PR. Purchased from AutomationDirect. Note: an earlier identical-part-number unit (ATO branded) was ordered but never arrived after shipping; replaced with this LS Electric unit which is the brake resistor actually installed.</t>
        </is>
      </c>
      <c r="E10" s="6" t="n">
        <v>1</v>
      </c>
      <c r="F10" s="6" t="inlineStr">
        <is>
          <t>EA</t>
        </is>
      </c>
      <c r="G10" s="5" t="inlineStr">
        <is>
          <t>https://www.automationdirect.com/adc/shopping/catalog/motion_control/ls_electric_l7c_(l7ca_series)_servo_systems/servo_accessories/apcs-300r30-ad</t>
        </is>
      </c>
      <c r="H10" s="7" t="n">
        <v>29</v>
      </c>
      <c r="I10" s="7">
        <f>E10*H10</f>
        <v/>
      </c>
    </row>
    <row r="11">
      <c r="B11" s="5" t="inlineStr">
        <is>
          <t>71008</t>
        </is>
      </c>
      <c r="C11" s="5" t="inlineStr">
        <is>
          <t>Main Power Switch</t>
        </is>
      </c>
      <c r="D11" s="5" t="inlineStr">
        <is>
          <t>Powertec 120 V ON/OFF main disconnect switch for entire control panel.</t>
        </is>
      </c>
      <c r="E11" s="6" t="n">
        <v>1</v>
      </c>
      <c r="F11" s="6" t="inlineStr">
        <is>
          <t>EA</t>
        </is>
      </c>
      <c r="G11" s="5" t="inlineStr">
        <is>
          <t>https://powertecproducts.com/71008/</t>
        </is>
      </c>
      <c r="H11" s="7" t="n">
        <v>15</v>
      </c>
      <c r="I11" s="7">
        <f>E11*H11</f>
        <v/>
      </c>
    </row>
    <row r="12">
      <c r="B12" s="5" t="inlineStr">
        <is>
          <t>TMC 8 3C 15A (2907618)</t>
        </is>
      </c>
      <c r="C12" s="5" t="inlineStr">
        <is>
          <t>VFD Branch Breaker</t>
        </is>
      </c>
      <c r="D12" s="5" t="inlineStr">
        <is>
          <t>Phoenix Contact thermal-magnetic DIN-rail circuit breaker, 15 A, on VFD neutral leg (per as-built). Obtained at no cost from the PSU EPL free pile.</t>
        </is>
      </c>
      <c r="E12" s="6" t="n">
        <v>1</v>
      </c>
      <c r="F12" s="6" t="inlineStr">
        <is>
          <t>EA</t>
        </is>
      </c>
      <c r="G12" s="5" t="inlineStr">
        <is>
          <t>https://www.phoenixcontact.com/</t>
        </is>
      </c>
      <c r="H12" s="7" t="n">
        <v>0</v>
      </c>
      <c r="I12" s="7">
        <f>E12*H12</f>
        <v/>
      </c>
    </row>
    <row r="13">
      <c r="B13" s="5" t="inlineStr">
        <is>
          <t>NDR-480-24</t>
        </is>
      </c>
      <c r="C13" s="5" t="inlineStr">
        <is>
          <t>24 VDC Power Supply</t>
        </is>
      </c>
      <c r="D13" s="5" t="inlineStr">
        <is>
          <t>Mean Well 480 W, 24 VDC DIN-rail power supply for PLC, HMI, indicator LEDs, and VFD control loops. Donated by sponsor / obtained at no cost to the EE team.</t>
        </is>
      </c>
      <c r="E13" s="6" t="n">
        <v>1</v>
      </c>
      <c r="F13" s="6" t="inlineStr">
        <is>
          <t>EA</t>
        </is>
      </c>
      <c r="G13" s="5" t="inlineStr">
        <is>
          <t>https://www.meanwell.com/</t>
        </is>
      </c>
      <c r="H13" s="7" t="n">
        <v>0</v>
      </c>
      <c r="I13" s="7">
        <f>E13*H13</f>
        <v/>
      </c>
    </row>
    <row r="14">
      <c r="B14" s="5" t="inlineStr">
        <is>
          <t>SD-N35</t>
        </is>
      </c>
      <c r="C14" s="5" t="inlineStr">
        <is>
          <t>Main Power Contactor</t>
        </is>
      </c>
      <c r="D14" s="5" t="inlineStr">
        <is>
          <t>Mitsubishi 3-pole magnetic contactor. Energized through E-stop chain via E22B1 NC contact.</t>
        </is>
      </c>
      <c r="E14" s="6" t="n">
        <v>1</v>
      </c>
      <c r="F14" s="6" t="inlineStr">
        <is>
          <t>EA</t>
        </is>
      </c>
      <c r="G14" s="5" t="inlineStr">
        <is>
          <t>https://www.ebay.com/itm/... (tpmachinery seller, order 23-14145-39817, Jan 2026)</t>
        </is>
      </c>
      <c r="H14" s="7" t="n">
        <v>12.59</v>
      </c>
      <c r="I14" s="7">
        <f>E14*H14</f>
        <v/>
      </c>
    </row>
    <row r="15">
      <c r="B15" s="5" t="inlineStr">
        <is>
          <t>EURO S4LH</t>
        </is>
      </c>
      <c r="C15" s="5" t="inlineStr">
        <is>
          <t>Fuse Block (button common)</t>
        </is>
      </c>
      <c r="D15" s="5" t="inlineStr">
        <is>
          <t>Morsettitalia fuse-holder terminal block. Holds 1 A fast-blow fuse protecting the shared pushbutton +24 V supply.</t>
        </is>
      </c>
      <c r="E15" s="6" t="n">
        <v>1</v>
      </c>
      <c r="F15" s="6" t="inlineStr">
        <is>
          <t>EA</t>
        </is>
      </c>
      <c r="G15" s="5" t="inlineStr">
        <is>
          <t>https://www.morsettitalia.com/</t>
        </is>
      </c>
      <c r="H15" s="7" t="n">
        <v>8</v>
      </c>
      <c r="I15" s="7">
        <f>E15*H15</f>
        <v/>
      </c>
    </row>
    <row r="16">
      <c r="B16" s="5" t="inlineStr">
        <is>
          <t>EURO S10H-5H</t>
        </is>
      </c>
      <c r="C16" s="5" t="inlineStr">
        <is>
          <t>Fuse Block (AC branches)</t>
        </is>
      </c>
      <c r="D16" s="5" t="inlineStr">
        <is>
          <t>Morsettitalia fuse-holder terminal block for AC branch protection.</t>
        </is>
      </c>
      <c r="E16" s="6" t="n">
        <v>1</v>
      </c>
      <c r="F16" s="6" t="inlineStr">
        <is>
          <t>EA</t>
        </is>
      </c>
      <c r="G16" s="5" t="inlineStr">
        <is>
          <t>https://www.morsettitalia.com/</t>
        </is>
      </c>
      <c r="H16" s="7" t="n">
        <v>12</v>
      </c>
      <c r="I16" s="7">
        <f>E16*H16</f>
        <v/>
      </c>
    </row>
    <row r="17">
      <c r="B17" s="5" t="inlineStr">
        <is>
          <t>H2-DM1E</t>
        </is>
      </c>
      <c r="C17" s="5" t="inlineStr">
        <is>
          <t>PLC CPU / Ethernet</t>
        </is>
      </c>
      <c r="D17" s="5" t="inlineStr">
        <is>
          <t>AutomationDirect Do-more CPU with built-in Ethernet, fits D2-09B-1 DL205 rack. Purchased Jan 2026 from planet-surplus as a USED combo for $350 total, includes: D2-09B-1 chassis, D2-08ND3, F2-08AD-1, F2-04RTD, D2-08TR, F2-08DA-2, and D2-FILL filler panels.</t>
        </is>
      </c>
      <c r="E17" s="6" t="n">
        <v>1</v>
      </c>
      <c r="F17" s="6" t="inlineStr">
        <is>
          <t>EA</t>
        </is>
      </c>
      <c r="G17" s="5" t="inlineStr">
        <is>
          <t>https://www.ebay.com/itm/... (planet-surplus seller, order 20-14113-87209, Jan 2026)</t>
        </is>
      </c>
      <c r="H17" s="7" t="n">
        <v>350</v>
      </c>
      <c r="I17" s="7">
        <f>E17*H17</f>
        <v/>
      </c>
    </row>
    <row r="18">
      <c r="B18" s="5" t="inlineStr">
        <is>
          <t>D2-09B-1</t>
        </is>
      </c>
      <c r="C18" s="5" t="inlineStr">
        <is>
          <t>PLC Base / Rack</t>
        </is>
      </c>
      <c r="D18" s="5" t="inlineStr">
        <is>
          <t>AutomationDirect DirectLOGIC 205 9-slot AC-powered base. Included in the H2-DM1E used combo purchase.</t>
        </is>
      </c>
      <c r="E18" s="6" t="n">
        <v>1</v>
      </c>
      <c r="F18" s="6" t="inlineStr">
        <is>
          <t>EA</t>
        </is>
      </c>
      <c r="G18" s="5" t="inlineStr">
        <is>
          <t>https://www.automationdirect.com/</t>
        </is>
      </c>
      <c r="H18" s="7" t="n">
        <v>0</v>
      </c>
      <c r="I18" s="7">
        <f>E18*H18</f>
        <v/>
      </c>
    </row>
    <row r="19">
      <c r="B19" s="5" t="inlineStr">
        <is>
          <t>D2-08ND3</t>
        </is>
      </c>
      <c r="C19" s="5" t="inlineStr">
        <is>
          <t>Discrete Input Module</t>
        </is>
      </c>
      <c r="D19" s="5" t="inlineStr">
        <is>
          <t>AutomationDirect 8-ch, 24 VDC, sourcing/sinking discrete input module. Slot 2. Inputs X0-X7. Included in the H2-DM1E used combo purchase.</t>
        </is>
      </c>
      <c r="E19" s="6" t="n">
        <v>1</v>
      </c>
      <c r="F19" s="6" t="inlineStr">
        <is>
          <t>EA</t>
        </is>
      </c>
      <c r="G19" s="5" t="inlineStr">
        <is>
          <t>https://www.automationdirect.com/</t>
        </is>
      </c>
      <c r="H19" s="7" t="n">
        <v>0</v>
      </c>
      <c r="I19" s="7">
        <f>E19*H19</f>
        <v/>
      </c>
    </row>
    <row r="20">
      <c r="B20" s="5" t="inlineStr">
        <is>
          <t>F2-08AD-1</t>
        </is>
      </c>
      <c r="C20" s="5" t="inlineStr">
        <is>
          <t>Analog Input Module</t>
        </is>
      </c>
      <c r="D20" s="5" t="inlineStr">
        <is>
          <t>AutomationDirect 8-ch, 4-20 mA analog current input module. Slot 3. CH1+ reads VFD VO current monitor. Included in the H2-DM1E used combo purchase.</t>
        </is>
      </c>
      <c r="E20" s="6" t="n">
        <v>1</v>
      </c>
      <c r="F20" s="6" t="inlineStr">
        <is>
          <t>EA</t>
        </is>
      </c>
      <c r="G20" s="5" t="inlineStr">
        <is>
          <t>https://www.automationdirect.com/</t>
        </is>
      </c>
      <c r="H20" s="7" t="n">
        <v>0</v>
      </c>
      <c r="I20" s="7">
        <f>E20*H20</f>
        <v/>
      </c>
    </row>
    <row r="21">
      <c r="B21" s="5" t="inlineStr">
        <is>
          <t>F2-04RTD</t>
        </is>
      </c>
      <c r="C21" s="5" t="inlineStr">
        <is>
          <t>RTD Input Module</t>
        </is>
      </c>
      <c r="D21" s="5" t="inlineStr">
        <is>
          <t>AutomationDirect 4-ch RTD input module. Slot 4. Installed but unused (spare). Included in the H2-DM1E used combo purchase.</t>
        </is>
      </c>
      <c r="E21" s="6" t="n">
        <v>1</v>
      </c>
      <c r="F21" s="6" t="inlineStr">
        <is>
          <t>EA</t>
        </is>
      </c>
      <c r="G21" s="5" t="inlineStr">
        <is>
          <t>https://www.automationdirect.com/</t>
        </is>
      </c>
      <c r="H21" s="7" t="n">
        <v>0</v>
      </c>
      <c r="I21" s="7">
        <f>E21*H21</f>
        <v/>
      </c>
    </row>
    <row r="22">
      <c r="B22" s="5" t="inlineStr">
        <is>
          <t>D2-08TR</t>
        </is>
      </c>
      <c r="C22" s="5" t="inlineStr">
        <is>
          <t>Relay Output Module</t>
        </is>
      </c>
      <c r="D22" s="5" t="inlineStr">
        <is>
          <t>AutomationDirect 8-ch relay output module. Slot 5. Drives button LEDs (Y0-Y4) and VFD FOR/REV/RST (Y6/Y7/Y5). Included in the H2-DM1E used combo purchase (eBay listing showed D2-08TD2 but seller substituted D2-08TR which is what we use).</t>
        </is>
      </c>
      <c r="E22" s="6" t="n">
        <v>1</v>
      </c>
      <c r="F22" s="6" t="inlineStr">
        <is>
          <t>EA</t>
        </is>
      </c>
      <c r="G22" s="5" t="inlineStr">
        <is>
          <t>https://www.automationdirect.com/</t>
        </is>
      </c>
      <c r="H22" s="7" t="n">
        <v>0</v>
      </c>
      <c r="I22" s="7">
        <f>E22*H22</f>
        <v/>
      </c>
    </row>
    <row r="23">
      <c r="B23" s="5" t="inlineStr">
        <is>
          <t>F2-08DA-2</t>
        </is>
      </c>
      <c r="C23" s="5" t="inlineStr">
        <is>
          <t>Analog Output Module</t>
        </is>
      </c>
      <c r="D23" s="5" t="inlineStr">
        <is>
          <t>AutomationDirect 8-ch, 0-10 V analog voltage output module. Slot 6. +V1 drives VFD VI speed reference. Included in the H2-DM1E used combo purchase (eBay listing showed F2-02DA but actual unit is F2-08DA-2).</t>
        </is>
      </c>
      <c r="E23" s="6" t="n">
        <v>1</v>
      </c>
      <c r="F23" s="6" t="inlineStr">
        <is>
          <t>EA</t>
        </is>
      </c>
      <c r="G23" s="5" t="inlineStr">
        <is>
          <t>https://www.automationdirect.com/</t>
        </is>
      </c>
      <c r="H23" s="7" t="n">
        <v>0</v>
      </c>
      <c r="I23" s="7">
        <f>E23*H23</f>
        <v/>
      </c>
    </row>
    <row r="24">
      <c r="B24" s="5" t="inlineStr">
        <is>
          <t>D2-FILL</t>
        </is>
      </c>
      <c r="C24" s="5" t="inlineStr">
        <is>
          <t>Rack Filler Panels</t>
        </is>
      </c>
      <c r="D24" s="5" t="inlineStr">
        <is>
          <t>AutomationDirect blank fill panels for unused rack slots 7-9. Included in the H2-DM1E used combo purchase.</t>
        </is>
      </c>
      <c r="E24" s="6" t="n">
        <v>3</v>
      </c>
      <c r="F24" s="6" t="inlineStr">
        <is>
          <t>EA</t>
        </is>
      </c>
      <c r="G24" s="5" t="inlineStr">
        <is>
          <t>https://www.automationdirect.com/</t>
        </is>
      </c>
      <c r="H24" s="7" t="n">
        <v>0</v>
      </c>
      <c r="I24" s="7">
        <f>E24*H24</f>
        <v/>
      </c>
    </row>
    <row r="25">
      <c r="B25" s="5" t="inlineStr">
        <is>
          <t>EA1-T4CL</t>
        </is>
      </c>
      <c r="C25" s="5" t="inlineStr">
        <is>
          <t>HMI Touch Panel</t>
        </is>
      </c>
      <c r="D25" s="5" t="inlineStr">
        <is>
          <t>AutomationDirect C-More Micro-Graphic 4-inch color touch panel HMI. Purchase included the serial cable for HMI-to-CPU communication (RS-232 to H2-DM1E serial port).</t>
        </is>
      </c>
      <c r="E25" s="6" t="n">
        <v>1</v>
      </c>
      <c r="F25" s="6" t="inlineStr">
        <is>
          <t>EA</t>
        </is>
      </c>
      <c r="G25" s="5" t="inlineStr">
        <is>
          <t>https://www.ebay.com/itm/306660xxxxxx</t>
        </is>
      </c>
      <c r="H25" s="7" t="n">
        <v>125</v>
      </c>
      <c r="I25" s="7">
        <f>E25*H25</f>
        <v/>
      </c>
    </row>
    <row r="26">
      <c r="B26" s="5" t="inlineStr">
        <is>
          <t>S2PR-P3G</t>
        </is>
      </c>
      <c r="C26" s="5" t="inlineStr">
        <is>
          <t>Forward Pushbutton Head</t>
        </is>
      </c>
      <c r="D26" s="5" t="inlineStr">
        <is>
          <t>Autonics 22 mm illuminated green pushbutton head (Forward command -&gt; X0).</t>
        </is>
      </c>
      <c r="E26" s="6" t="n">
        <v>1</v>
      </c>
      <c r="F26" s="6" t="inlineStr">
        <is>
          <t>EA</t>
        </is>
      </c>
      <c r="G26" s="5" t="inlineStr">
        <is>
          <t>https://www.autonics.com/us/model/S2PR-P3GAD</t>
        </is>
      </c>
      <c r="H26" s="7" t="n">
        <v>1.9</v>
      </c>
      <c r="I26" s="7">
        <f>E26*H26</f>
        <v/>
      </c>
    </row>
    <row r="27">
      <c r="B27" s="5" t="inlineStr">
        <is>
          <t>S2PR-P3Y</t>
        </is>
      </c>
      <c r="C27" s="5" t="inlineStr">
        <is>
          <t>Reverse Pushbutton Head</t>
        </is>
      </c>
      <c r="D27" s="5" t="inlineStr">
        <is>
          <t>Autonics 22 mm illuminated yellow pushbutton head (Reverse command -&gt; X1).</t>
        </is>
      </c>
      <c r="E27" s="6" t="n">
        <v>1</v>
      </c>
      <c r="F27" s="6" t="inlineStr">
        <is>
          <t>EA</t>
        </is>
      </c>
      <c r="G27" s="5" t="inlineStr">
        <is>
          <t>https://www.autonics.com/us/model/S2PR-P3YAD</t>
        </is>
      </c>
      <c r="H27" s="7" t="n">
        <v>1.9</v>
      </c>
      <c r="I27" s="7">
        <f>E27*H27</f>
        <v/>
      </c>
    </row>
    <row r="28">
      <c r="B28" s="5" t="inlineStr">
        <is>
          <t>S2PR-P3B</t>
        </is>
      </c>
      <c r="C28" s="5" t="inlineStr">
        <is>
          <t>Run/Deadman Pushbutton Head</t>
        </is>
      </c>
      <c r="D28" s="5" t="inlineStr">
        <is>
          <t>Autonics 22 mm illuminated blue pushbutton head (Run 1 -&gt; X2, Run 2 -&gt; X3).</t>
        </is>
      </c>
      <c r="E28" s="6" t="n">
        <v>2</v>
      </c>
      <c r="F28" s="6" t="inlineStr">
        <is>
          <t>EA</t>
        </is>
      </c>
      <c r="G28" s="5" t="inlineStr">
        <is>
          <t>https://www.autonics.com/us/model/S2PR-P3BAD</t>
        </is>
      </c>
      <c r="H28" s="7" t="n">
        <v>1.9</v>
      </c>
      <c r="I28" s="7">
        <f>E28*H28</f>
        <v/>
      </c>
    </row>
    <row r="29">
      <c r="B29" s="5" t="inlineStr">
        <is>
          <t>S2PR-P3R</t>
        </is>
      </c>
      <c r="C29" s="5" t="inlineStr">
        <is>
          <t>Reset Pushbutton Head</t>
        </is>
      </c>
      <c r="D29" s="5" t="inlineStr">
        <is>
          <t>Autonics 22 mm illuminated red pushbutton head (planned Reset -&gt; X6).</t>
        </is>
      </c>
      <c r="E29" s="6" t="n">
        <v>1</v>
      </c>
      <c r="F29" s="6" t="inlineStr">
        <is>
          <t>EA</t>
        </is>
      </c>
      <c r="G29" s="5" t="inlineStr">
        <is>
          <t>https://www.autonics.com/us/model/S2PR-P3RAD</t>
        </is>
      </c>
      <c r="H29" s="7" t="n">
        <v>4.5</v>
      </c>
      <c r="I29" s="7">
        <f>E29*H29</f>
        <v/>
      </c>
    </row>
    <row r="30">
      <c r="B30" s="5" t="inlineStr">
        <is>
          <t>SA-CA</t>
        </is>
      </c>
      <c r="C30" s="5" t="inlineStr">
        <is>
          <t>NO Contact Block (1NO)</t>
        </is>
      </c>
      <c r="D30" s="5" t="inlineStr">
        <is>
          <t>Autonics finger-safe 1NO contact block. 110 VAC/10 A. Used with each S2PR pushbutton.</t>
        </is>
      </c>
      <c r="E30" s="6" t="n">
        <v>5</v>
      </c>
      <c r="F30" s="6" t="inlineStr">
        <is>
          <t>EA</t>
        </is>
      </c>
      <c r="G30" s="5" t="inlineStr">
        <is>
          <t>https://www.autonics.com/us/model/SA-CA</t>
        </is>
      </c>
      <c r="H30" s="7" t="n">
        <v>2.8</v>
      </c>
      <c r="I30" s="7">
        <f>E30*H30</f>
        <v/>
      </c>
    </row>
    <row r="31">
      <c r="B31" s="5" t="inlineStr">
        <is>
          <t>SA-LDG</t>
        </is>
      </c>
      <c r="C31" s="5" t="inlineStr">
        <is>
          <t>LED Block - Green (24 VDC)</t>
        </is>
      </c>
      <c r="D31" s="5" t="inlineStr">
        <is>
          <t>Autonics modular LED indicator block, green, 12-24 VDC. Forward button illumination -&gt; Y0.</t>
        </is>
      </c>
      <c r="E31" s="6" t="n">
        <v>1</v>
      </c>
      <c r="F31" s="6" t="inlineStr">
        <is>
          <t>EA</t>
        </is>
      </c>
      <c r="G31" s="5" t="inlineStr">
        <is>
          <t>https://www.autonics.com/us/model/SA-LDG</t>
        </is>
      </c>
      <c r="H31" s="7" t="n">
        <v>4.5</v>
      </c>
      <c r="I31" s="7">
        <f>E31*H31</f>
        <v/>
      </c>
    </row>
    <row r="32">
      <c r="B32" s="5" t="inlineStr">
        <is>
          <t>SA-LDY</t>
        </is>
      </c>
      <c r="C32" s="5" t="inlineStr">
        <is>
          <t>LED Block - Yellow (24 VDC)</t>
        </is>
      </c>
      <c r="D32" s="5" t="inlineStr">
        <is>
          <t>Autonics modular LED indicator block, yellow, 12-24 VDC. Reverse button illumination -&gt; Y1.</t>
        </is>
      </c>
      <c r="E32" s="6" t="n">
        <v>1</v>
      </c>
      <c r="F32" s="6" t="inlineStr">
        <is>
          <t>EA</t>
        </is>
      </c>
      <c r="G32" s="5" t="inlineStr">
        <is>
          <t>https://www.autonics.com/us/model/SA-LDY</t>
        </is>
      </c>
      <c r="H32" s="7" t="n">
        <v>4.5</v>
      </c>
      <c r="I32" s="7">
        <f>E32*H32</f>
        <v/>
      </c>
    </row>
    <row r="33">
      <c r="B33" s="5" t="inlineStr">
        <is>
          <t>SA-LDB</t>
        </is>
      </c>
      <c r="C33" s="5" t="inlineStr">
        <is>
          <t>LED Block - Blue (24 VDC)</t>
        </is>
      </c>
      <c r="D33" s="5" t="inlineStr">
        <is>
          <t>Autonics modular LED indicator block, blue, 12-24 VDC. Run 1 and Run 2 illumination -&gt; Y2, Y3.</t>
        </is>
      </c>
      <c r="E33" s="6" t="n">
        <v>2</v>
      </c>
      <c r="F33" s="6" t="inlineStr">
        <is>
          <t>EA</t>
        </is>
      </c>
      <c r="G33" s="5" t="inlineStr">
        <is>
          <t>https://www.autonics.com/us/model/SA-LDB</t>
        </is>
      </c>
      <c r="H33" s="7" t="n">
        <v>4.5</v>
      </c>
      <c r="I33" s="7">
        <f>E33*H33</f>
        <v/>
      </c>
    </row>
    <row r="34">
      <c r="B34" s="5" t="inlineStr">
        <is>
          <t>SA-LDR</t>
        </is>
      </c>
      <c r="C34" s="5" t="inlineStr">
        <is>
          <t>LED Block - Red (24 VDC)</t>
        </is>
      </c>
      <c r="D34" s="5" t="inlineStr">
        <is>
          <t>Autonics modular LED indicator block, red, 12-24 VDC. Reset button illumination (planned).</t>
        </is>
      </c>
      <c r="E34" s="6" t="n">
        <v>1</v>
      </c>
      <c r="F34" s="6" t="inlineStr">
        <is>
          <t>EA</t>
        </is>
      </c>
      <c r="G34" s="5" t="inlineStr">
        <is>
          <t>https://www.autonics.com/us/model/SA-LDR</t>
        </is>
      </c>
      <c r="H34" s="7" t="n">
        <v>4.5</v>
      </c>
      <c r="I34" s="7">
        <f>E34*H34</f>
        <v/>
      </c>
    </row>
    <row r="35">
      <c r="B35" s="5" t="inlineStr">
        <is>
          <t>E22B1</t>
        </is>
      </c>
      <c r="C35" s="5" t="inlineStr">
        <is>
          <t>Emergency Stop Pushbutton</t>
        </is>
      </c>
      <c r="D35" s="5" t="inlineStr">
        <is>
          <t>Cutler-Hammer / Eaton 22 mm mushroom E-stop, NC contact. In series with SD-N35 contactor coil.</t>
        </is>
      </c>
      <c r="E35" s="6" t="n">
        <v>1</v>
      </c>
      <c r="F35" s="6" t="inlineStr">
        <is>
          <t>EA</t>
        </is>
      </c>
      <c r="G35" s="5" t="inlineStr">
        <is>
          <t>https://www.eaton.com/</t>
        </is>
      </c>
      <c r="H35" s="7" t="n">
        <v>25</v>
      </c>
      <c r="I35" s="7">
        <f>E35*H35</f>
        <v/>
      </c>
    </row>
    <row r="36">
      <c r="B36" s="5" t="inlineStr">
        <is>
          <t>Wamco 525</t>
        </is>
      </c>
      <c r="C36" s="5" t="inlineStr">
        <is>
          <t>Fault Indicator Light</t>
        </is>
      </c>
      <c r="D36" s="5" t="inlineStr">
        <is>
          <t>Wamco panel-mount LED indicator, 28 VDC, 0.6 W. Driven by PLC Y4 as machine-fault indicator.</t>
        </is>
      </c>
      <c r="E36" s="6" t="n">
        <v>1</v>
      </c>
      <c r="F36" s="6" t="inlineStr">
        <is>
          <t>EA</t>
        </is>
      </c>
      <c r="G36" s="5" t="inlineStr">
        <is>
          <t>https://www.wamco.com/</t>
        </is>
      </c>
      <c r="H36" s="7" t="n">
        <v>15</v>
      </c>
      <c r="I36" s="7">
        <f>E36*H36</f>
        <v/>
      </c>
    </row>
    <row r="37">
      <c r="B37" s="5" t="inlineStr">
        <is>
          <t>Banana Socket (Blue)</t>
        </is>
      </c>
      <c r="C37" s="5" t="inlineStr">
        <is>
          <t>Banana Socket Blue</t>
        </is>
      </c>
      <c r="D37" s="5" t="inlineStr">
        <is>
          <t>Generic 4 mm panel-mount banana socket, blue. Quick-disconnect for VFD U output to motor T1. Obtained at no cost from a free pile.</t>
        </is>
      </c>
      <c r="E37" s="6" t="n">
        <v>1</v>
      </c>
      <c r="F37" s="6" t="inlineStr">
        <is>
          <t>EA</t>
        </is>
      </c>
      <c r="G37" s="5" t="inlineStr"/>
      <c r="H37" s="7" t="n">
        <v>0</v>
      </c>
      <c r="I37" s="7">
        <f>E37*H37</f>
        <v/>
      </c>
    </row>
    <row r="38">
      <c r="B38" s="5" t="inlineStr">
        <is>
          <t>Banana Socket (White)</t>
        </is>
      </c>
      <c r="C38" s="5" t="inlineStr">
        <is>
          <t>Banana Socket White</t>
        </is>
      </c>
      <c r="D38" s="5" t="inlineStr">
        <is>
          <t>Generic 4 mm panel-mount banana socket, white. VFD V output to motor T2. Obtained at no cost from a free pile.</t>
        </is>
      </c>
      <c r="E38" s="6" t="n">
        <v>1</v>
      </c>
      <c r="F38" s="6" t="inlineStr">
        <is>
          <t>EA</t>
        </is>
      </c>
      <c r="G38" s="5" t="inlineStr"/>
      <c r="H38" s="7" t="n">
        <v>0</v>
      </c>
      <c r="I38" s="7">
        <f>E38*H38</f>
        <v/>
      </c>
    </row>
    <row r="39">
      <c r="B39" s="5" t="inlineStr">
        <is>
          <t>Banana Socket (Red)</t>
        </is>
      </c>
      <c r="C39" s="5" t="inlineStr">
        <is>
          <t>Banana Socket Red</t>
        </is>
      </c>
      <c r="D39" s="5" t="inlineStr">
        <is>
          <t>Generic 4 mm panel-mount banana socket, red. VFD W output to motor T3. Obtained at no cost from a free pile.</t>
        </is>
      </c>
      <c r="E39" s="6" t="n">
        <v>1</v>
      </c>
      <c r="F39" s="6" t="inlineStr">
        <is>
          <t>EA</t>
        </is>
      </c>
      <c r="G39" s="5" t="inlineStr"/>
      <c r="H39" s="7" t="n">
        <v>0</v>
      </c>
      <c r="I39" s="7">
        <f>E39*H39</f>
        <v/>
      </c>
    </row>
    <row r="40">
      <c r="B40" s="5" t="inlineStr">
        <is>
          <t>G1X1LG6</t>
        </is>
      </c>
      <c r="C40" s="5" t="inlineStr">
        <is>
          <t>Slotted Wire Duct, 1"x1"</t>
        </is>
      </c>
      <c r="D40" s="5" t="inlineStr">
        <is>
          <t>Panduit Type G wide-finger slotted PVC duct, light gray, 6 ft lengths.</t>
        </is>
      </c>
      <c r="E40" s="6" t="n">
        <v>6</v>
      </c>
      <c r="F40" s="6" t="inlineStr">
        <is>
          <t>FT</t>
        </is>
      </c>
      <c r="G40" s="5" t="inlineStr">
        <is>
          <t>https://www.panduit.com/</t>
        </is>
      </c>
      <c r="H40" s="7" t="n">
        <v>3.43</v>
      </c>
      <c r="I40" s="7">
        <f>E40*H40</f>
        <v/>
      </c>
    </row>
    <row r="41">
      <c r="B41" s="5" t="inlineStr">
        <is>
          <t>C1LG6</t>
        </is>
      </c>
      <c r="C41" s="5" t="inlineStr">
        <is>
          <t>Duct Cover, 1"W</t>
        </is>
      </c>
      <c r="D41" s="5" t="inlineStr">
        <is>
          <t>Panduit duct cover for G1X1LG6, light gray, 6 ft lengths.</t>
        </is>
      </c>
      <c r="E41" s="6" t="n">
        <v>6</v>
      </c>
      <c r="F41" s="6" t="inlineStr">
        <is>
          <t>FT</t>
        </is>
      </c>
      <c r="G41" s="5" t="inlineStr">
        <is>
          <t>https://www.panduit.com/</t>
        </is>
      </c>
      <c r="H41" s="7" t="n">
        <v>1.2</v>
      </c>
      <c r="I41" s="7">
        <f>E41*H41</f>
        <v/>
      </c>
    </row>
    <row r="42">
      <c r="B42" s="5" t="inlineStr">
        <is>
          <t>18 AWG Blue</t>
        </is>
      </c>
      <c r="C42" s="5" t="inlineStr">
        <is>
          <t>Control Wire, Blue</t>
        </is>
      </c>
      <c r="D42" s="5" t="inlineStr">
        <is>
          <t>18 AWG stranded blue control wire (NFPA 79 §13.2 DC control). Obtained at no cost (some from team member's existing stock, some from free pile).</t>
        </is>
      </c>
      <c r="E42" s="6" t="n">
        <v>1</v>
      </c>
      <c r="F42" s="6" t="inlineStr">
        <is>
          <t>Roll</t>
        </is>
      </c>
      <c r="G42" s="5" t="inlineStr"/>
      <c r="H42" s="7" t="n">
        <v>0</v>
      </c>
      <c r="I42" s="7">
        <f>E42*H42</f>
        <v/>
      </c>
    </row>
    <row r="43">
      <c r="B43" s="5" t="inlineStr">
        <is>
          <t>18 AWG White</t>
        </is>
      </c>
      <c r="C43" s="5" t="inlineStr">
        <is>
          <t>Control Return Wire</t>
        </is>
      </c>
      <c r="D43" s="5" t="inlineStr">
        <is>
          <t>18 AWG stranded white wire for DC return (NFPA 79 §13.2). Obtained at no cost (some from team member's existing stock, some from free pile).</t>
        </is>
      </c>
      <c r="E43" s="6" t="n">
        <v>1</v>
      </c>
      <c r="F43" s="6" t="inlineStr">
        <is>
          <t>Roll</t>
        </is>
      </c>
      <c r="G43" s="5" t="inlineStr"/>
      <c r="H43" s="7" t="n">
        <v>0</v>
      </c>
      <c r="I43" s="7">
        <f>E43*H43</f>
        <v/>
      </c>
    </row>
    <row r="44">
      <c r="B44" s="5" t="inlineStr">
        <is>
          <t>12 AWG Black</t>
        </is>
      </c>
      <c r="C44" s="5" t="inlineStr">
        <is>
          <t>Power Wire, Black</t>
        </is>
      </c>
      <c r="D44" s="5" t="inlineStr">
        <is>
          <t>12 AWG black wire for AC mains and motor leads. Obtained at no cost (some from team member's existing stock, some from free pile).</t>
        </is>
      </c>
      <c r="E44" s="6" t="n">
        <v>1</v>
      </c>
      <c r="F44" s="6" t="inlineStr">
        <is>
          <t>Roll</t>
        </is>
      </c>
      <c r="G44" s="5" t="inlineStr"/>
      <c r="H44" s="7" t="n">
        <v>0</v>
      </c>
      <c r="I44" s="7">
        <f>E44*H44</f>
        <v/>
      </c>
    </row>
    <row r="45">
      <c r="B45" s="5" t="inlineStr">
        <is>
          <t>12 AWG Green/Yellow</t>
        </is>
      </c>
      <c r="C45" s="5" t="inlineStr">
        <is>
          <t>Ground Wire</t>
        </is>
      </c>
      <c r="D45" s="5" t="inlineStr">
        <is>
          <t>12 AWG green/yellow stranded equipment grounding wire (NFPA 79). Obtained at no cost (some from team member's existing stock, some from free pile).</t>
        </is>
      </c>
      <c r="E45" s="6" t="n">
        <v>1</v>
      </c>
      <c r="F45" s="6" t="inlineStr">
        <is>
          <t>Roll</t>
        </is>
      </c>
      <c r="G45" s="5" t="inlineStr"/>
      <c r="H45" s="7" t="n">
        <v>0</v>
      </c>
      <c r="I45" s="7">
        <f>E45*H45</f>
        <v/>
      </c>
    </row>
    <row r="46">
      <c r="B46" s="5" t="inlineStr">
        <is>
          <t>GMA-500mA or 0217.500MXP</t>
        </is>
      </c>
      <c r="C46" s="5" t="inlineStr">
        <is>
          <t>Fuse - 500 mA F</t>
        </is>
      </c>
      <c r="D46" s="5" t="inlineStr">
        <is>
          <t>Bussmann or Littelfuse 5x20 mm fast-blow fuse, 500 mA, 250 V. (Currently not installed per as-built note - retained as recommended addition.)</t>
        </is>
      </c>
      <c r="E46" s="6" t="n">
        <v>1</v>
      </c>
      <c r="F46" s="6" t="inlineStr">
        <is>
          <t>EA</t>
        </is>
      </c>
      <c r="G46" s="5" t="inlineStr"/>
      <c r="H46" s="7" t="n">
        <v>1.5</v>
      </c>
      <c r="I46" s="7">
        <f>E46*H46</f>
        <v/>
      </c>
    </row>
    <row r="47">
      <c r="B47" s="5" t="inlineStr">
        <is>
          <t>GMA-1A or equiv.</t>
        </is>
      </c>
      <c r="C47" s="5" t="inlineStr">
        <is>
          <t>Fuse - 1 A F</t>
        </is>
      </c>
      <c r="D47" s="5" t="inlineStr">
        <is>
          <t>5x20 mm fast-blow fuse, 1 A, 250 V. Protects shared +24 V pushbutton common (in EURO S4LH).</t>
        </is>
      </c>
      <c r="E47" s="6" t="n">
        <v>1</v>
      </c>
      <c r="F47" s="6" t="inlineStr">
        <is>
          <t>EA</t>
        </is>
      </c>
      <c r="G47" s="5" t="inlineStr"/>
      <c r="H47" s="7" t="n">
        <v>1.5</v>
      </c>
      <c r="I47" s="7">
        <f>E47*H47</f>
        <v/>
      </c>
    </row>
    <row r="48">
      <c r="D48" s="8" t="inlineStr">
        <is>
          <t>TOTAL PARTS</t>
        </is>
      </c>
      <c r="E48" s="2">
        <f>SUM(E8:E47)</f>
        <v/>
      </c>
      <c r="G48" s="8" t="inlineStr">
        <is>
          <t>TOTAL</t>
        </is>
      </c>
      <c r="I48" s="3">
        <f>SUM(I8:I47)</f>
        <v/>
      </c>
    </row>
  </sheetData>
  <printOptions horizontalCentered="1" gridLines="0"/>
  <pageMargins left="0.4" right="0.4" top="0.5" bottom="0.5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4" customWidth="1" min="3" max="3"/>
    <col width="32" customWidth="1" min="4" max="4"/>
    <col width="50" customWidth="1" min="5" max="5"/>
  </cols>
  <sheetData>
    <row r="1">
      <c r="A1" s="4" t="inlineStr">
        <is>
          <t>PART NUMBER</t>
        </is>
      </c>
      <c r="B1" s="4" t="inlineStr">
        <is>
          <t>PART NAME</t>
        </is>
      </c>
      <c r="C1" s="4" t="inlineStr">
        <is>
          <t>DESCRIPTION</t>
        </is>
      </c>
      <c r="D1" s="4" t="inlineStr">
        <is>
          <t>FROM BOM FILE</t>
        </is>
      </c>
      <c r="E1" s="4" t="inlineStr">
        <is>
          <t>REASON NOT USED</t>
        </is>
      </c>
    </row>
    <row r="2">
      <c r="A2" s="5" t="inlineStr">
        <is>
          <t>PE145TC-2-4</t>
        </is>
      </c>
      <c r="B2" s="5" t="inlineStr">
        <is>
          <t>Motor (alternate)</t>
        </is>
      </c>
      <c r="C2" s="5" t="inlineStr">
        <is>
          <t>Original BOM candidate motor</t>
        </is>
      </c>
      <c r="D2" s="5" t="inlineStr">
        <is>
          <t>BOM_02_20_26</t>
        </is>
      </c>
      <c r="E2" s="5" t="inlineStr">
        <is>
          <t>Not used; GE 5KE182BC205B used instead for bench testing</t>
        </is>
      </c>
    </row>
    <row r="3">
      <c r="A3" s="5" t="inlineStr">
        <is>
          <t>NBE7</t>
        </is>
      </c>
      <c r="B3" s="5" t="inlineStr">
        <is>
          <t>Circuit Breaker</t>
        </is>
      </c>
      <c r="C3" s="5" t="inlineStr">
        <is>
          <t>Original BOM candidate breaker</t>
        </is>
      </c>
      <c r="D3" s="5" t="inlineStr">
        <is>
          <t>BOM_1_29 / BOM_02_20_26</t>
        </is>
      </c>
      <c r="E3" s="5" t="inlineStr">
        <is>
          <t>Never purchased; replaced by Phoenix Contact TMC 8 3C 15A</t>
        </is>
      </c>
    </row>
    <row r="4">
      <c r="A4" s="5" t="inlineStr">
        <is>
          <t>(30 A fuse, TBD)</t>
        </is>
      </c>
      <c r="B4" s="5" t="inlineStr">
        <is>
          <t>30 A Branch Fuse</t>
        </is>
      </c>
      <c r="C4" s="5" t="inlineStr">
        <is>
          <t>Per old BOM, 2x 30 A fuses budgeted</t>
        </is>
      </c>
      <c r="D4" s="5" t="inlineStr">
        <is>
          <t>BOM_1_29</t>
        </is>
      </c>
      <c r="E4" s="5" t="inlineStr">
        <is>
          <t>Never needed in final design</t>
        </is>
      </c>
    </row>
    <row r="5">
      <c r="A5" s="5" t="inlineStr">
        <is>
          <t>1866-1441-ND</t>
        </is>
      </c>
      <c r="B5" s="5" t="inlineStr">
        <is>
          <t>DC Power Supply</t>
        </is>
      </c>
      <c r="C5" s="5" t="inlineStr">
        <is>
          <t>120/24 VDC PSU from Digi-Key</t>
        </is>
      </c>
      <c r="D5" s="5" t="inlineStr">
        <is>
          <t>BOM_1_29</t>
        </is>
      </c>
      <c r="E5" s="5" t="inlineStr">
        <is>
          <t>Superseded by Mean Well NDR-480-24</t>
        </is>
      </c>
    </row>
    <row r="6">
      <c r="A6" s="5" t="inlineStr">
        <is>
          <t>(generic)</t>
        </is>
      </c>
      <c r="B6" s="5" t="inlineStr">
        <is>
          <t>VEVOR 3HP 120V VFD</t>
        </is>
      </c>
      <c r="C6" s="5" t="inlineStr">
        <is>
          <t>Hobby-grade VFD option</t>
        </is>
      </c>
      <c r="D6" s="5" t="inlineStr">
        <is>
          <t>VFD_120V_3HP_Decision_Matrix</t>
        </is>
      </c>
      <c r="E6" s="5" t="inlineStr">
        <is>
          <t>Rejected during selection (hobby-grade, limited documentation)</t>
        </is>
      </c>
    </row>
    <row r="7">
      <c r="A7" s="5" t="inlineStr">
        <is>
          <t>(generic)</t>
        </is>
      </c>
      <c r="B7" s="5" t="inlineStr">
        <is>
          <t>ATO 3HP 120V VFD</t>
        </is>
      </c>
      <c r="C7" s="5" t="inlineStr">
        <is>
          <t>Higher-quality VFD option</t>
        </is>
      </c>
      <c r="D7" s="5" t="inlineStr">
        <is>
          <t>VFD_120V_3HP_Decision_Matrix</t>
        </is>
      </c>
      <c r="E7" s="5" t="inlineStr">
        <is>
          <t>Too expensive ($450-500) for project budget</t>
        </is>
      </c>
    </row>
    <row r="8">
      <c r="A8" s="5" t="inlineStr">
        <is>
          <t>(generic)</t>
        </is>
      </c>
      <c r="B8" s="5" t="inlineStr">
        <is>
          <t>110V 20A 3HP VFD</t>
        </is>
      </c>
      <c r="C8" s="5" t="inlineStr">
        <is>
          <t>Mid-tier VFD option</t>
        </is>
      </c>
      <c r="D8" s="5" t="inlineStr">
        <is>
          <t>VFD_120V_3HP_Decision_Matrix</t>
        </is>
      </c>
      <c r="E8" s="5" t="inlineStr">
        <is>
          <t>Huanyang HY02D211B-T selected instead</t>
        </is>
      </c>
    </row>
    <row r="9">
      <c r="A9" s="5" t="inlineStr">
        <is>
          <t>(WEG single-phase 3HP)</t>
        </is>
      </c>
      <c r="B9" s="5" t="inlineStr">
        <is>
          <t>WEG Single Phase Motor</t>
        </is>
      </c>
      <c r="C9" s="5" t="inlineStr">
        <is>
          <t>1-phase general purpose 3 HP motor</t>
        </is>
      </c>
      <c r="D9" s="5" t="inlineStr">
        <is>
          <t>Motor Spec</t>
        </is>
      </c>
      <c r="E9" s="5" t="inlineStr">
        <is>
          <t>Considered but GE 5KE182BC205B used</t>
        </is>
      </c>
    </row>
    <row r="10">
      <c r="A10" s="5" t="inlineStr">
        <is>
          <t>NT3-18-213T</t>
        </is>
      </c>
      <c r="B10" s="5" t="inlineStr">
        <is>
          <t>Worldwide Electric Motor</t>
        </is>
      </c>
      <c r="C10" s="5" t="inlineStr">
        <is>
          <t>3-phase TEFC 3 HP motor</t>
        </is>
      </c>
      <c r="D10" s="5" t="inlineStr">
        <is>
          <t>Motor Spec</t>
        </is>
      </c>
      <c r="E10" s="5" t="inlineStr">
        <is>
          <t>Considered but not purchased</t>
        </is>
      </c>
    </row>
    <row r="11">
      <c r="A11" s="5" t="inlineStr">
        <is>
          <t>(VEVOR 5HP 230V)</t>
        </is>
      </c>
      <c r="B11" s="5" t="inlineStr">
        <is>
          <t>VEVOR High Torque Motor</t>
        </is>
      </c>
      <c r="C11" s="5" t="inlineStr">
        <is>
          <t>5 HP 1-phase compressor-style motor</t>
        </is>
      </c>
      <c r="D11" s="5" t="inlineStr">
        <is>
          <t>Motor Spec</t>
        </is>
      </c>
      <c r="E11" s="5" t="inlineStr">
        <is>
          <t>Considered but not purchased</t>
        </is>
      </c>
    </row>
    <row r="12">
      <c r="A12" s="5" t="inlineStr">
        <is>
          <t>L510 (2HP / 3HP)</t>
        </is>
      </c>
      <c r="B12" s="5" t="inlineStr">
        <is>
          <t>TECO L510 VFD</t>
        </is>
      </c>
      <c r="C12" s="5" t="inlineStr">
        <is>
          <t>VFD comparison option</t>
        </is>
      </c>
      <c r="D12" s="5" t="inlineStr">
        <is>
          <t>Motor Spec</t>
        </is>
      </c>
      <c r="E12" s="5" t="inlineStr">
        <is>
          <t>Considered but Huanyang selected</t>
        </is>
      </c>
    </row>
    <row r="13">
      <c r="A13" s="5" t="inlineStr">
        <is>
          <t>G0532</t>
        </is>
      </c>
      <c r="B13" s="5" t="inlineStr">
        <is>
          <t>Marathon Gearmotor</t>
        </is>
      </c>
      <c r="C13" s="5" t="inlineStr">
        <is>
          <t>Integrated gearbox motor</t>
        </is>
      </c>
      <c r="D13" s="5" t="inlineStr">
        <is>
          <t>Motor Spec</t>
        </is>
      </c>
      <c r="E13" s="5" t="inlineStr">
        <is>
          <t>Considered but not purchased</t>
        </is>
      </c>
    </row>
    <row r="14">
      <c r="A14" s="5" t="inlineStr">
        <is>
          <t>KBWC-15K</t>
        </is>
      </c>
      <c r="B14" s="5" t="inlineStr">
        <is>
          <t>KB Electronics speed control</t>
        </is>
      </c>
      <c r="C14" s="5" t="inlineStr">
        <is>
          <t>Triac speed control fan-style</t>
        </is>
      </c>
      <c r="D14" s="5" t="inlineStr">
        <is>
          <t>Motor Spec</t>
        </is>
      </c>
      <c r="E14" s="5" t="inlineStr">
        <is>
          <t>VFD approach used instead</t>
        </is>
      </c>
    </row>
    <row r="15">
      <c r="A15" s="5" t="inlineStr">
        <is>
          <t>TTP223B</t>
        </is>
      </c>
      <c r="B15" s="5" t="inlineStr">
        <is>
          <t>Capacitive Touch Sensor</t>
        </is>
      </c>
      <c r="C15" s="5" t="inlineStr">
        <is>
          <t>Single-channel cap touch</t>
        </is>
      </c>
      <c r="D15" s="5" t="inlineStr">
        <is>
          <t>BOM_1_30_beta (safety draft)</t>
        </is>
      </c>
      <c r="E15" s="5" t="inlineStr">
        <is>
          <t>Does not meet industrial standards</t>
        </is>
      </c>
    </row>
    <row r="16">
      <c r="A16" s="5" t="inlineStr">
        <is>
          <t>CAP1293-1-SN</t>
        </is>
      </c>
      <c r="B16" s="5" t="inlineStr">
        <is>
          <t>Capacitive Touch Chip</t>
        </is>
      </c>
      <c r="C16" s="5" t="inlineStr">
        <is>
          <t>3-channel cap touch chip</t>
        </is>
      </c>
      <c r="D16" s="5" t="inlineStr">
        <is>
          <t>BOM_1_30_beta (safety draft)</t>
        </is>
      </c>
      <c r="E16" s="5" t="inlineStr">
        <is>
          <t>Chip only; needs interface board</t>
        </is>
      </c>
    </row>
    <row r="17">
      <c r="A17" s="5" t="inlineStr">
        <is>
          <t>1864-1032-ND</t>
        </is>
      </c>
      <c r="B17" s="5" t="inlineStr">
        <is>
          <t>Capacitive Proximity Sensor</t>
        </is>
      </c>
      <c r="C17" s="5" t="inlineStr">
        <is>
          <t>Cap proximity sensor</t>
        </is>
      </c>
      <c r="D17" s="5" t="inlineStr">
        <is>
          <t>BOM_1_30_beta (safety draft)</t>
        </is>
      </c>
      <c r="E17" s="5" t="inlineStr">
        <is>
          <t>Too expensive ($109.25)</t>
        </is>
      </c>
    </row>
    <row r="18">
      <c r="A18" s="5" t="inlineStr">
        <is>
          <t>F3S-TGR-NMPC-21-10</t>
        </is>
      </c>
      <c r="B18" s="5" t="inlineStr">
        <is>
          <t>Omron Magnetic Safety Sensor</t>
        </is>
      </c>
      <c r="C18" s="5" t="inlineStr">
        <is>
          <t>Non-contact magnetic safety switch</t>
        </is>
      </c>
      <c r="D18" s="5" t="inlineStr">
        <is>
          <t>BOM_1_30_beta (safety draft)</t>
        </is>
      </c>
      <c r="E18" s="5" t="inlineStr">
        <is>
          <t>Too expensive; out of stock</t>
        </is>
      </c>
    </row>
    <row r="19">
      <c r="A19" s="5" t="inlineStr">
        <is>
          <t>RSS 36-I2-D-R-ST5</t>
        </is>
      </c>
      <c r="B19" s="5" t="inlineStr">
        <is>
          <t>Schmersal RFID Safety Sensor</t>
        </is>
      </c>
      <c r="C19" s="5" t="inlineStr">
        <is>
          <t>RFID safety sensor</t>
        </is>
      </c>
      <c r="D19" s="5" t="inlineStr">
        <is>
          <t>BOM_1_30_beta (safety draft)</t>
        </is>
      </c>
      <c r="E19" s="5" t="inlineStr">
        <is>
          <t>Suspected industrial-only / non-retail</t>
        </is>
      </c>
    </row>
    <row r="20">
      <c r="A20" s="5" t="inlineStr">
        <is>
          <t>F3SG-SR / PG</t>
        </is>
      </c>
      <c r="B20" s="5" t="inlineStr">
        <is>
          <t>Omron Safety Light Curtain</t>
        </is>
      </c>
      <c r="C20" s="5" t="inlineStr">
        <is>
          <t>Safety light curtain</t>
        </is>
      </c>
      <c r="D20" s="5" t="inlineStr">
        <is>
          <t>BOM_1_30_beta (safety draft)</t>
        </is>
      </c>
      <c r="E20" s="5" t="inlineStr">
        <is>
          <t>Out of scope for capstone budget</t>
        </is>
      </c>
    </row>
    <row r="21">
      <c r="A21" s="5" t="inlineStr">
        <is>
          <t>(Ichor-provided)</t>
        </is>
      </c>
      <c r="B21" s="5" t="inlineStr">
        <is>
          <t>Red/Green Indicator Lights</t>
        </is>
      </c>
      <c r="C21" s="5" t="inlineStr">
        <is>
          <t>Sponsor-provided lights</t>
        </is>
      </c>
      <c r="D21" s="5" t="inlineStr">
        <is>
          <t>BOM_02_20_26</t>
        </is>
      </c>
      <c r="E21" s="5" t="inlineStr">
        <is>
          <t>Not used; Wamco 525 fault light and button LEDs cover indication</t>
        </is>
      </c>
    </row>
    <row r="22">
      <c r="A22" s="5" t="inlineStr">
        <is>
          <t>(Ichor-provided)</t>
        </is>
      </c>
      <c r="B22" s="5" t="inlineStr">
        <is>
          <t>E-stop Pushbutton</t>
        </is>
      </c>
      <c r="C22" s="5" t="inlineStr">
        <is>
          <t>Sponsor-provided E-stop</t>
        </is>
      </c>
      <c r="D22" s="5" t="inlineStr">
        <is>
          <t>BOM_02_20_26</t>
        </is>
      </c>
      <c r="E22" s="5" t="inlineStr">
        <is>
          <t>Replaced with Cutler-Hammer/Eaton E22B1 procured by team</t>
        </is>
      </c>
    </row>
    <row r="23">
      <c r="A23" s="5" t="inlineStr">
        <is>
          <t>V30AE000055</t>
        </is>
      </c>
      <c r="B23" s="5" t="inlineStr">
        <is>
          <t>Insulated Ferrules, 12 AWG (gray)</t>
        </is>
      </c>
      <c r="C23" s="5" t="inlineStr">
        <is>
          <t>Z+F crimp ferrules, 12 AWG, 10 mm length, gray (DIN color code). 500-piece pack.</t>
        </is>
      </c>
      <c r="D23" s="5" t="inlineStr">
        <is>
          <t>URS Electronics invoice (purchased but not used)</t>
        </is>
      </c>
      <c r="E23" s="5" t="inlineStr">
        <is>
          <t>Purchased from URS Electronics but ultimately not used in the as-built panel. Spare stock retained for future projects.</t>
        </is>
      </c>
    </row>
  </sheetData>
  <printOptions horizontalCentered="1"/>
  <pageMargins left="0.4" right="0.4" top="0.5" bottom="0.5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2026-06-01T22:54:16Z</dcterms:created>
  <dcterms:modified xmlns:dcterms="http://purl.org/dc/terms/" xmlns:xsi="http://www.w3.org/2001/XMLSchema-instance" xsi:type="dcterms:W3CDTF">2026-06-01T23:09:36Z</dcterms:modified>
</cp:coreProperties>
</file>