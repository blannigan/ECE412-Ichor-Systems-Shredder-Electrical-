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bined BOM" sheetId="1" state="visible" r:id="rId1"/>
    <sheet xmlns:r="http://schemas.openxmlformats.org/officeDocument/2006/relationships" name="Excluded - Not Used" sheetId="2" state="visible" r:id="rId2"/>
    <sheet xmlns:r="http://schemas.openxmlformats.org/officeDocument/2006/relationships" name="VFD Decision 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6A7F10"/>
        <bgColor rgb="006A7F10"/>
      </patternFill>
    </fill>
    <fill>
      <patternFill patternType="solid">
        <fgColor rgb="00DDDDDD"/>
        <b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8" customWidth="1" min="3" max="3"/>
    <col width="22" customWidth="1" min="4" max="4"/>
    <col width="32" customWidth="1" min="5" max="5"/>
    <col width="6" customWidth="1" min="6" max="6"/>
    <col width="8" customWidth="1" min="7" max="7"/>
    <col width="60" customWidth="1" min="8" max="8"/>
  </cols>
  <sheetData>
    <row r="1">
      <c r="A1" s="1" t="inlineStr">
        <is>
          <t>#</t>
        </is>
      </c>
      <c r="B1" s="1" t="inlineStr">
        <is>
          <t>Category</t>
        </is>
      </c>
      <c r="C1" s="1" t="inlineStr">
        <is>
          <t>Item / Function</t>
        </is>
      </c>
      <c r="D1" s="1" t="inlineStr">
        <is>
          <t>Manufacturer</t>
        </is>
      </c>
      <c r="E1" s="1" t="inlineStr">
        <is>
          <t>Model / Part Number</t>
        </is>
      </c>
      <c r="F1" s="1" t="inlineStr">
        <is>
          <t>Qty</t>
        </is>
      </c>
      <c r="G1" s="1" t="inlineStr">
        <is>
          <t>Unit</t>
        </is>
      </c>
      <c r="H1" s="1" t="inlineStr">
        <is>
          <t>Notes / Source</t>
        </is>
      </c>
    </row>
    <row r="2">
      <c r="B2" s="2" t="inlineStr">
        <is>
          <t>MOTOR &amp; DRIVE</t>
        </is>
      </c>
    </row>
    <row r="3">
      <c r="A3" t="n">
        <v>1</v>
      </c>
      <c r="B3" t="inlineStr"/>
      <c r="C3" s="3" t="inlineStr">
        <is>
          <t>AC Motor (bench test unit)</t>
        </is>
      </c>
      <c r="D3" s="3" t="inlineStr">
        <is>
          <t>GE</t>
        </is>
      </c>
      <c r="E3" s="3" t="inlineStr">
        <is>
          <t>5KE182BC205B</t>
        </is>
      </c>
      <c r="F3" t="n">
        <v>1</v>
      </c>
      <c r="G3" t="inlineStr">
        <is>
          <t>EA</t>
        </is>
      </c>
      <c r="H3" s="3" t="inlineStr">
        <is>
          <t>3 HP, 230V 1750 RPM 4-pole TEFC. See motor/Motor_Nameplate.md.</t>
        </is>
      </c>
    </row>
    <row r="4">
      <c r="A4" t="n">
        <v>2</v>
      </c>
      <c r="B4" t="inlineStr"/>
      <c r="C4" s="3" t="inlineStr">
        <is>
          <t>VFD (Variable Frequency Drive)</t>
        </is>
      </c>
      <c r="D4" s="3" t="inlineStr">
        <is>
          <t>Huanyang</t>
        </is>
      </c>
      <c r="E4" s="3" t="inlineStr">
        <is>
          <t>HY02D211B-T</t>
        </is>
      </c>
      <c r="F4" t="n">
        <v>1</v>
      </c>
      <c r="G4" t="inlineStr">
        <is>
          <t>EA</t>
        </is>
      </c>
      <c r="H4" s="3" t="inlineStr">
        <is>
          <t>2.2 kW (3 HP), 110V single-phase in, 220V 3-phase out. See vfd/Programmed_Parameters.md.</t>
        </is>
      </c>
    </row>
    <row r="5">
      <c r="A5" t="n">
        <v>3</v>
      </c>
      <c r="B5" t="inlineStr"/>
      <c r="C5" s="3" t="inlineStr">
        <is>
          <t>Dynamic Braking Resistor</t>
        </is>
      </c>
      <c r="D5" s="3" t="inlineStr">
        <is>
          <t>ATO</t>
        </is>
      </c>
      <c r="E5" s="3" t="inlineStr">
        <is>
          <t>APCS-300R30-AD</t>
        </is>
      </c>
      <c r="F5" t="n">
        <v>1</v>
      </c>
      <c r="G5" t="inlineStr">
        <is>
          <t>EA</t>
        </is>
      </c>
      <c r="H5" s="3" t="inlineStr">
        <is>
          <t>300 W, 30 ohm, aluminum-clad. P+/PR terminals on VFD. See vfd/Brake_Resistor_Wiring.md.</t>
        </is>
      </c>
    </row>
    <row r="6">
      <c r="B6" s="2" t="inlineStr">
        <is>
          <t>POWER DISTRIBUTION</t>
        </is>
      </c>
    </row>
    <row r="7">
      <c r="A7" t="n">
        <v>4</v>
      </c>
      <c r="B7" t="inlineStr"/>
      <c r="C7" s="3" t="inlineStr">
        <is>
          <t>Main Power Switch</t>
        </is>
      </c>
      <c r="D7" s="3" t="inlineStr">
        <is>
          <t>Powertec</t>
        </is>
      </c>
      <c r="E7" s="3" t="inlineStr">
        <is>
          <t>71008</t>
        </is>
      </c>
      <c r="F7" t="n">
        <v>1</v>
      </c>
      <c r="G7" t="inlineStr">
        <is>
          <t>EA</t>
        </is>
      </c>
      <c r="H7" s="3" t="inlineStr">
        <is>
          <t>120 V ON/OFF disconnect. Powers entire control panel.</t>
        </is>
      </c>
    </row>
    <row r="8">
      <c r="A8" t="n">
        <v>5</v>
      </c>
      <c r="B8" t="inlineStr"/>
      <c r="C8" s="3" t="inlineStr">
        <is>
          <t>VFD Branch Breaker</t>
        </is>
      </c>
      <c r="D8" s="3" t="inlineStr">
        <is>
          <t>Phoenix Contact</t>
        </is>
      </c>
      <c r="E8" s="3" t="inlineStr">
        <is>
          <t>TMC 8 3C 15A (P/N 2907618)</t>
        </is>
      </c>
      <c r="F8" t="n">
        <v>1</v>
      </c>
      <c r="G8" t="inlineStr">
        <is>
          <t>EA</t>
        </is>
      </c>
      <c r="H8" s="3" t="inlineStr">
        <is>
          <t>15 A thermal-magnetic DIN-rail breaker on VFD neutral leg (per as-built; reviewing for final).</t>
        </is>
      </c>
    </row>
    <row r="9">
      <c r="A9" t="n">
        <v>6</v>
      </c>
      <c r="B9" t="inlineStr"/>
      <c r="C9" s="3" t="inlineStr">
        <is>
          <t>DC Power Supply</t>
        </is>
      </c>
      <c r="D9" s="3" t="inlineStr">
        <is>
          <t>Mean Well</t>
        </is>
      </c>
      <c r="E9" s="3" t="inlineStr">
        <is>
          <t>NDR-480-24</t>
        </is>
      </c>
      <c r="F9" t="n">
        <v>1</v>
      </c>
      <c r="G9" t="inlineStr">
        <is>
          <t>EA</t>
        </is>
      </c>
      <c r="H9" s="3" t="inlineStr">
        <is>
          <t>480 W, 24 VDC, DIN-rail. Powers PLC, HMI, indicator LEDs, VFD control loops.</t>
        </is>
      </c>
    </row>
    <row r="10">
      <c r="A10" t="n">
        <v>7</v>
      </c>
      <c r="B10" t="inlineStr"/>
      <c r="C10" s="3" t="inlineStr">
        <is>
          <t>Main Power Contactor</t>
        </is>
      </c>
      <c r="D10" s="3" t="inlineStr">
        <is>
          <t>Mitsubishi</t>
        </is>
      </c>
      <c r="E10" s="3" t="inlineStr">
        <is>
          <t>SD-N35</t>
        </is>
      </c>
      <c r="F10" t="n">
        <v>1</v>
      </c>
      <c r="G10" t="inlineStr">
        <is>
          <t>EA</t>
        </is>
      </c>
      <c r="H10" s="3" t="inlineStr">
        <is>
          <t>3-pole magnetic contactor. Energized through E-stop chain via E22B1 NC.</t>
        </is>
      </c>
    </row>
    <row r="11">
      <c r="A11" t="n">
        <v>8</v>
      </c>
      <c r="B11" t="inlineStr"/>
      <c r="C11" s="3" t="inlineStr">
        <is>
          <t>Fuse Block - 24V Button Common</t>
        </is>
      </c>
      <c r="D11" s="3" t="inlineStr">
        <is>
          <t>Morsettitalia</t>
        </is>
      </c>
      <c r="E11" s="3" t="inlineStr">
        <is>
          <t>EURO S4LH</t>
        </is>
      </c>
      <c r="F11" t="n">
        <v>1</v>
      </c>
      <c r="G11" t="inlineStr">
        <is>
          <t>EA</t>
        </is>
      </c>
      <c r="H11" s="3" t="inlineStr">
        <is>
          <t>Holds 1 A fast-blow fuse for shared pushbutton +24V supply.</t>
        </is>
      </c>
    </row>
    <row r="12">
      <c r="A12" t="n">
        <v>9</v>
      </c>
      <c r="B12" t="inlineStr"/>
      <c r="C12" s="3" t="inlineStr">
        <is>
          <t>Fuse Block - AC Branches</t>
        </is>
      </c>
      <c r="D12" s="3" t="inlineStr">
        <is>
          <t>Morsettitalia</t>
        </is>
      </c>
      <c r="E12" s="3" t="inlineStr">
        <is>
          <t>EURO S10H-5H</t>
        </is>
      </c>
      <c r="F12" t="n">
        <v>1</v>
      </c>
      <c r="G12" t="inlineStr">
        <is>
          <t>EA</t>
        </is>
      </c>
      <c r="H12" s="3" t="inlineStr">
        <is>
          <t>Holds AC line branch fuses for PSU and PLC mains feeds.</t>
        </is>
      </c>
    </row>
    <row r="13">
      <c r="B13" s="2" t="inlineStr">
        <is>
          <t>PLC CONTROL SYSTEM</t>
        </is>
      </c>
    </row>
    <row r="14">
      <c r="A14" t="n">
        <v>10</v>
      </c>
      <c r="B14" t="inlineStr"/>
      <c r="C14" s="3" t="inlineStr">
        <is>
          <t>PLC CPU / Ethernet Module</t>
        </is>
      </c>
      <c r="D14" s="3" t="inlineStr">
        <is>
          <t>AutomationDirect</t>
        </is>
      </c>
      <c r="E14" s="3" t="inlineStr">
        <is>
          <t>H2-DM1E</t>
        </is>
      </c>
      <c r="F14" t="n">
        <v>1</v>
      </c>
      <c r="G14" t="inlineStr">
        <is>
          <t>EA</t>
        </is>
      </c>
      <c r="H14" s="3" t="inlineStr">
        <is>
          <t>Do-more CPU with built-in Ethernet, fits DL205 rack.</t>
        </is>
      </c>
    </row>
    <row r="15">
      <c r="A15" t="n">
        <v>11</v>
      </c>
      <c r="B15" t="inlineStr"/>
      <c r="C15" s="3" t="inlineStr">
        <is>
          <t>PLC Rack / Base</t>
        </is>
      </c>
      <c r="D15" s="3" t="inlineStr">
        <is>
          <t>AutomationDirect</t>
        </is>
      </c>
      <c r="E15" s="3" t="inlineStr">
        <is>
          <t>D2-09B-1</t>
        </is>
      </c>
      <c r="F15" t="n">
        <v>1</v>
      </c>
      <c r="G15" t="inlineStr">
        <is>
          <t>EA</t>
        </is>
      </c>
      <c r="H15" s="3" t="inlineStr">
        <is>
          <t>9-slot DL205 base, AC powered.</t>
        </is>
      </c>
    </row>
    <row r="16">
      <c r="A16" t="n">
        <v>12</v>
      </c>
      <c r="B16" t="inlineStr"/>
      <c r="C16" s="3" t="inlineStr">
        <is>
          <t>Discrete Input Module (24 VDC)</t>
        </is>
      </c>
      <c r="D16" s="3" t="inlineStr">
        <is>
          <t>AutomationDirect</t>
        </is>
      </c>
      <c r="E16" s="3" t="inlineStr">
        <is>
          <t>D2-08ND3</t>
        </is>
      </c>
      <c r="F16" t="n">
        <v>1</v>
      </c>
      <c r="G16" t="inlineStr">
        <is>
          <t>EA</t>
        </is>
      </c>
      <c r="H16" s="3" t="inlineStr">
        <is>
          <t>8-ch DI, sourcing mode. Slot 2. Inputs X0-X7.</t>
        </is>
      </c>
    </row>
    <row r="17">
      <c r="A17" t="n">
        <v>13</v>
      </c>
      <c r="B17" t="inlineStr"/>
      <c r="C17" s="3" t="inlineStr">
        <is>
          <t>Analog Current Input Module</t>
        </is>
      </c>
      <c r="D17" s="3" t="inlineStr">
        <is>
          <t>AutomationDirect</t>
        </is>
      </c>
      <c r="E17" s="3" t="inlineStr">
        <is>
          <t>F2-08AD-1</t>
        </is>
      </c>
      <c r="F17" t="n">
        <v>1</v>
      </c>
      <c r="G17" t="inlineStr">
        <is>
          <t>EA</t>
        </is>
      </c>
      <c r="H17" s="3" t="inlineStr">
        <is>
          <t>8-ch analog input. Slot 3. CH1+ reads VFD VO motor current monitor.</t>
        </is>
      </c>
    </row>
    <row r="18">
      <c r="A18" t="n">
        <v>14</v>
      </c>
      <c r="B18" t="inlineStr"/>
      <c r="C18" s="3" t="inlineStr">
        <is>
          <t>RTD Input Module</t>
        </is>
      </c>
      <c r="D18" s="3" t="inlineStr">
        <is>
          <t>AutomationDirect</t>
        </is>
      </c>
      <c r="E18" s="3" t="inlineStr">
        <is>
          <t>F2-04RTD</t>
        </is>
      </c>
      <c r="F18" t="n">
        <v>1</v>
      </c>
      <c r="G18" t="inlineStr">
        <is>
          <t>EA</t>
        </is>
      </c>
      <c r="H18" s="3" t="inlineStr">
        <is>
          <t>4-ch RTD input. Slot 4. Installed but unused (spare for future thermal sensing).</t>
        </is>
      </c>
    </row>
    <row r="19">
      <c r="A19" t="n">
        <v>15</v>
      </c>
      <c r="B19" t="inlineStr"/>
      <c r="C19" s="3" t="inlineStr">
        <is>
          <t>Relay Output Module</t>
        </is>
      </c>
      <c r="D19" s="3" t="inlineStr">
        <is>
          <t>AutomationDirect</t>
        </is>
      </c>
      <c r="E19" s="3" t="inlineStr">
        <is>
          <t>D2-08TR</t>
        </is>
      </c>
      <c r="F19" t="n">
        <v>1</v>
      </c>
      <c r="G19" t="inlineStr">
        <is>
          <t>EA</t>
        </is>
      </c>
      <c r="H19" s="3" t="inlineStr">
        <is>
          <t>8-ch relay output. Slot 5. Sinking mode. Drives button LEDs (Y0-Y4) and VFD FOR/REV/RST (Y6/Y7/Y5).</t>
        </is>
      </c>
    </row>
    <row r="20">
      <c r="A20" t="n">
        <v>16</v>
      </c>
      <c r="B20" t="inlineStr"/>
      <c r="C20" s="3" t="inlineStr">
        <is>
          <t>Analog Voltage Output Module</t>
        </is>
      </c>
      <c r="D20" s="3" t="inlineStr">
        <is>
          <t>AutomationDirect</t>
        </is>
      </c>
      <c r="E20" s="3" t="inlineStr">
        <is>
          <t>F2-08DA-2</t>
        </is>
      </c>
      <c r="F20" t="n">
        <v>1</v>
      </c>
      <c r="G20" t="inlineStr">
        <is>
          <t>EA</t>
        </is>
      </c>
      <c r="H20" s="3" t="inlineStr">
        <is>
          <t>8-ch voltage output. Slot 6. +V1 drives VFD VI speed reference (0-10V).</t>
        </is>
      </c>
    </row>
    <row r="21">
      <c r="A21" t="n">
        <v>17</v>
      </c>
      <c r="B21" t="inlineStr"/>
      <c r="C21" s="3" t="inlineStr">
        <is>
          <t>PLC Rack Filler Panels</t>
        </is>
      </c>
      <c r="D21" s="3" t="inlineStr">
        <is>
          <t>AutomationDirect</t>
        </is>
      </c>
      <c r="E21" s="3" t="inlineStr">
        <is>
          <t>D2-Fill</t>
        </is>
      </c>
      <c r="F21" t="n">
        <v>3</v>
      </c>
      <c r="G21" t="inlineStr">
        <is>
          <t>EA</t>
        </is>
      </c>
      <c r="H21" s="3" t="inlineStr">
        <is>
          <t>Slots 7-9 fillers.</t>
        </is>
      </c>
    </row>
    <row r="22">
      <c r="B22" s="2" t="inlineStr">
        <is>
          <t>HMI / OPERATOR DISPLAY</t>
        </is>
      </c>
    </row>
    <row r="23">
      <c r="A23" t="n">
        <v>18</v>
      </c>
      <c r="B23" t="inlineStr"/>
      <c r="C23" s="3" t="inlineStr">
        <is>
          <t>C-More Micro Touch Panel</t>
        </is>
      </c>
      <c r="D23" s="3" t="inlineStr">
        <is>
          <t>AutomationDirect</t>
        </is>
      </c>
      <c r="E23" s="3" t="inlineStr">
        <is>
          <t>EA1-T4CL</t>
        </is>
      </c>
      <c r="F23" t="n">
        <v>1</v>
      </c>
      <c r="G23" t="inlineStr">
        <is>
          <t>EA</t>
        </is>
      </c>
      <c r="H23" s="3" t="inlineStr">
        <is>
          <t>4-inch color touch panel HMI. Ethernet to PLC.</t>
        </is>
      </c>
    </row>
    <row r="24">
      <c r="B24" s="2" t="inlineStr">
        <is>
          <t>OPERATOR CONTROLS</t>
        </is>
      </c>
    </row>
    <row r="25">
      <c r="A25" t="n">
        <v>19</v>
      </c>
      <c r="B25" t="inlineStr"/>
      <c r="C25" s="3" t="inlineStr">
        <is>
          <t>Forward Pushbutton Head</t>
        </is>
      </c>
      <c r="D25" s="3" t="inlineStr">
        <is>
          <t>Autonics</t>
        </is>
      </c>
      <c r="E25" s="3" t="inlineStr">
        <is>
          <t>S2PR-P3G</t>
        </is>
      </c>
      <c r="F25" t="n">
        <v>1</v>
      </c>
      <c r="G25" t="inlineStr">
        <is>
          <t>EA</t>
        </is>
      </c>
      <c r="H25" s="3" t="inlineStr">
        <is>
          <t>22 mm illuminated green pushbutton (Forward command -&gt; X0).</t>
        </is>
      </c>
    </row>
    <row r="26">
      <c r="A26" t="n">
        <v>20</v>
      </c>
      <c r="B26" t="inlineStr"/>
      <c r="C26" s="3" t="inlineStr">
        <is>
          <t>Reverse Pushbutton Head</t>
        </is>
      </c>
      <c r="D26" s="3" t="inlineStr">
        <is>
          <t>Autonics</t>
        </is>
      </c>
      <c r="E26" s="3" t="inlineStr">
        <is>
          <t>S2PR-P3Y</t>
        </is>
      </c>
      <c r="F26" t="n">
        <v>1</v>
      </c>
      <c r="G26" t="inlineStr">
        <is>
          <t>EA</t>
        </is>
      </c>
      <c r="H26" s="3" t="inlineStr">
        <is>
          <t>22 mm illuminated yellow pushbutton (Reverse command -&gt; X1).</t>
        </is>
      </c>
    </row>
    <row r="27">
      <c r="A27" t="n">
        <v>21</v>
      </c>
      <c r="B27" t="inlineStr"/>
      <c r="C27" s="3" t="inlineStr">
        <is>
          <t>Deadman/Run Pushbutton Head</t>
        </is>
      </c>
      <c r="D27" s="3" t="inlineStr">
        <is>
          <t>Autonics</t>
        </is>
      </c>
      <c r="E27" s="3" t="inlineStr">
        <is>
          <t>S2PR-P3B</t>
        </is>
      </c>
      <c r="F27" t="n">
        <v>2</v>
      </c>
      <c r="G27" t="inlineStr">
        <is>
          <t>EA</t>
        </is>
      </c>
      <c r="H27" s="3" t="inlineStr">
        <is>
          <t>22 mm illuminated blue pushbuttons (Run 1 -&gt; X2, Run 2 -&gt; X3).</t>
        </is>
      </c>
    </row>
    <row r="28">
      <c r="A28" t="n">
        <v>22</v>
      </c>
      <c r="B28" t="inlineStr"/>
      <c r="C28" s="3" t="inlineStr">
        <is>
          <t>Reset Pushbutton Head</t>
        </is>
      </c>
      <c r="D28" s="3" t="inlineStr">
        <is>
          <t>Autonics</t>
        </is>
      </c>
      <c r="E28" s="3" t="inlineStr">
        <is>
          <t>S2PR-P3R</t>
        </is>
      </c>
      <c r="F28" t="n">
        <v>1</v>
      </c>
      <c r="G28" t="inlineStr">
        <is>
          <t>EA</t>
        </is>
      </c>
      <c r="H28" s="3" t="inlineStr">
        <is>
          <t>22 mm illuminated red pushbutton (planned Reset -&gt; X6).</t>
        </is>
      </c>
    </row>
    <row r="29">
      <c r="A29" t="n">
        <v>23</v>
      </c>
      <c r="B29" t="inlineStr"/>
      <c r="C29" s="3" t="inlineStr">
        <is>
          <t>NO Contact Block (1NO finger-safe)</t>
        </is>
      </c>
      <c r="D29" s="3" t="inlineStr">
        <is>
          <t>Autonics</t>
        </is>
      </c>
      <c r="E29" s="3" t="inlineStr">
        <is>
          <t>SA-CA</t>
        </is>
      </c>
      <c r="F29" t="n">
        <v>5</v>
      </c>
      <c r="G29" t="inlineStr">
        <is>
          <t>EA</t>
        </is>
      </c>
      <c r="H29" s="3" t="inlineStr">
        <is>
          <t>One per pushbutton (was MC22-UA legacy P/N). 110VAC/10A, 220VAC/5A.</t>
        </is>
      </c>
    </row>
    <row r="30">
      <c r="A30" t="n">
        <v>24</v>
      </c>
      <c r="B30" t="inlineStr"/>
      <c r="C30" s="3" t="inlineStr">
        <is>
          <t>LED Block - Green (24V DC)</t>
        </is>
      </c>
      <c r="D30" s="3" t="inlineStr">
        <is>
          <t>Autonics</t>
        </is>
      </c>
      <c r="E30" s="3" t="inlineStr">
        <is>
          <t>SA-LDG</t>
        </is>
      </c>
      <c r="F30" t="n">
        <v>1</v>
      </c>
      <c r="G30" t="inlineStr">
        <is>
          <t>EA</t>
        </is>
      </c>
      <c r="H30" s="3" t="inlineStr">
        <is>
          <t>Forward button illumination -&gt; Y0.</t>
        </is>
      </c>
    </row>
    <row r="31">
      <c r="A31" t="n">
        <v>25</v>
      </c>
      <c r="B31" t="inlineStr"/>
      <c r="C31" s="3" t="inlineStr">
        <is>
          <t>LED Block - Yellow (24V DC)</t>
        </is>
      </c>
      <c r="D31" s="3" t="inlineStr">
        <is>
          <t>Autonics</t>
        </is>
      </c>
      <c r="E31" s="3" t="inlineStr">
        <is>
          <t>SA-LDY</t>
        </is>
      </c>
      <c r="F31" t="n">
        <v>1</v>
      </c>
      <c r="G31" t="inlineStr">
        <is>
          <t>EA</t>
        </is>
      </c>
      <c r="H31" s="3" t="inlineStr">
        <is>
          <t>Reverse button illumination -&gt; Y1.</t>
        </is>
      </c>
    </row>
    <row r="32">
      <c r="A32" t="n">
        <v>26</v>
      </c>
      <c r="B32" t="inlineStr"/>
      <c r="C32" s="3" t="inlineStr">
        <is>
          <t>LED Block - Blue (24V DC)</t>
        </is>
      </c>
      <c r="D32" s="3" t="inlineStr">
        <is>
          <t>Autonics</t>
        </is>
      </c>
      <c r="E32" s="3" t="inlineStr">
        <is>
          <t>SA-LDB</t>
        </is>
      </c>
      <c r="F32" t="n">
        <v>2</v>
      </c>
      <c r="G32" t="inlineStr">
        <is>
          <t>EA</t>
        </is>
      </c>
      <c r="H32" s="3" t="inlineStr">
        <is>
          <t>Run 1 and Run 2 button illumination -&gt; Y2, Y3.</t>
        </is>
      </c>
    </row>
    <row r="33">
      <c r="A33" t="n">
        <v>27</v>
      </c>
      <c r="B33" t="inlineStr"/>
      <c r="C33" s="3" t="inlineStr">
        <is>
          <t>LED Block - Red (24V DC)</t>
        </is>
      </c>
      <c r="D33" s="3" t="inlineStr">
        <is>
          <t>Autonics</t>
        </is>
      </c>
      <c r="E33" s="3" t="inlineStr">
        <is>
          <t>SA-LDR</t>
        </is>
      </c>
      <c r="F33" t="n">
        <v>1</v>
      </c>
      <c r="G33" t="inlineStr">
        <is>
          <t>EA</t>
        </is>
      </c>
      <c r="H33" s="3" t="inlineStr">
        <is>
          <t>Reset button illumination (planned).</t>
        </is>
      </c>
    </row>
    <row r="34">
      <c r="A34" t="n">
        <v>28</v>
      </c>
      <c r="B34" t="inlineStr"/>
      <c r="C34" s="3" t="inlineStr">
        <is>
          <t>Emergency Stop Pushbutton</t>
        </is>
      </c>
      <c r="D34" s="3" t="inlineStr">
        <is>
          <t>Cutler-Hammer / Eaton</t>
        </is>
      </c>
      <c r="E34" s="3" t="inlineStr">
        <is>
          <t>E22B1</t>
        </is>
      </c>
      <c r="F34" t="n">
        <v>1</v>
      </c>
      <c r="G34" t="inlineStr">
        <is>
          <t>EA</t>
        </is>
      </c>
      <c r="H34" s="3" t="inlineStr">
        <is>
          <t>22 mm mushroom E-stop, NC contact. In series with SD-N35 contactor coil.</t>
        </is>
      </c>
    </row>
    <row r="35">
      <c r="A35" t="n">
        <v>29</v>
      </c>
      <c r="B35" t="inlineStr"/>
      <c r="C35" s="3" t="inlineStr">
        <is>
          <t>Panel Indicator Light - Error/Fault</t>
        </is>
      </c>
      <c r="D35" s="3" t="inlineStr">
        <is>
          <t>Wamco</t>
        </is>
      </c>
      <c r="E35" s="3" t="inlineStr">
        <is>
          <t>525</t>
        </is>
      </c>
      <c r="F35" t="n">
        <v>1</v>
      </c>
      <c r="G35" t="inlineStr">
        <is>
          <t>EA</t>
        </is>
      </c>
      <c r="H35" s="3" t="inlineStr">
        <is>
          <t>28 VDC, 0.6 W panel-mount LED indicator. Driven by Y4.</t>
        </is>
      </c>
    </row>
    <row r="36">
      <c r="B36" s="2" t="inlineStr">
        <is>
          <t>MOTOR CONNECTIONS</t>
        </is>
      </c>
    </row>
    <row r="37">
      <c r="A37" t="n">
        <v>30</v>
      </c>
      <c r="B37" t="inlineStr"/>
      <c r="C37" s="3" t="inlineStr">
        <is>
          <t>Banana Socket - Blue (4 mm)</t>
        </is>
      </c>
      <c r="D37" s="3" t="inlineStr">
        <is>
          <t>Generic</t>
        </is>
      </c>
      <c r="E37" s="3" t="inlineStr">
        <is>
          <t>Banana Socket Blue</t>
        </is>
      </c>
      <c r="F37" t="n">
        <v>1</v>
      </c>
      <c r="G37" t="inlineStr">
        <is>
          <t>EA</t>
        </is>
      </c>
      <c r="H37" s="3" t="inlineStr">
        <is>
          <t>Quick-disconnect for VFD U output to motor T1.</t>
        </is>
      </c>
    </row>
    <row r="38">
      <c r="A38" t="n">
        <v>31</v>
      </c>
      <c r="B38" t="inlineStr"/>
      <c r="C38" s="3" t="inlineStr">
        <is>
          <t>Banana Socket - White (4 mm)</t>
        </is>
      </c>
      <c r="D38" s="3" t="inlineStr">
        <is>
          <t>Generic</t>
        </is>
      </c>
      <c r="E38" s="3" t="inlineStr">
        <is>
          <t>Banana Socket White</t>
        </is>
      </c>
      <c r="F38" t="n">
        <v>1</v>
      </c>
      <c r="G38" t="inlineStr">
        <is>
          <t>EA</t>
        </is>
      </c>
      <c r="H38" s="3" t="inlineStr">
        <is>
          <t>VFD V output to motor T2.</t>
        </is>
      </c>
    </row>
    <row r="39">
      <c r="A39" t="n">
        <v>32</v>
      </c>
      <c r="B39" t="inlineStr"/>
      <c r="C39" s="3" t="inlineStr">
        <is>
          <t>Banana Socket - Red (4 mm)</t>
        </is>
      </c>
      <c r="D39" s="3" t="inlineStr">
        <is>
          <t>Generic</t>
        </is>
      </c>
      <c r="E39" s="3" t="inlineStr">
        <is>
          <t>Banana Socket Red</t>
        </is>
      </c>
      <c r="F39" t="n">
        <v>1</v>
      </c>
      <c r="G39" t="inlineStr">
        <is>
          <t>EA</t>
        </is>
      </c>
      <c r="H39" s="3" t="inlineStr">
        <is>
          <t>VFD W output to motor T3.</t>
        </is>
      </c>
    </row>
    <row r="40">
      <c r="B40" s="2" t="inlineStr">
        <is>
          <t>WIRE, DUCT, &amp; HARDWARE</t>
        </is>
      </c>
    </row>
    <row r="41">
      <c r="A41" t="n">
        <v>33</v>
      </c>
      <c r="B41" t="inlineStr"/>
      <c r="C41" s="3" t="inlineStr">
        <is>
          <t>Slotted Wire Duct (Type G, 1" x 1")</t>
        </is>
      </c>
      <c r="D41" s="3" t="inlineStr">
        <is>
          <t>Panduit</t>
        </is>
      </c>
      <c r="E41" s="3" t="inlineStr">
        <is>
          <t>G1X1LG6</t>
        </is>
      </c>
      <c r="F41" t="n">
        <v>6</v>
      </c>
      <c r="G41" t="inlineStr">
        <is>
          <t>FT</t>
        </is>
      </c>
      <c r="H41" s="3" t="inlineStr">
        <is>
          <t>Light gray, 6 ft lengths. Panel wire management.</t>
        </is>
      </c>
    </row>
    <row r="42">
      <c r="A42" t="n">
        <v>34</v>
      </c>
      <c r="B42" t="inlineStr"/>
      <c r="C42" s="3" t="inlineStr">
        <is>
          <t>Duct Cover for G1X1LG6</t>
        </is>
      </c>
      <c r="D42" s="3" t="inlineStr">
        <is>
          <t>Panduit</t>
        </is>
      </c>
      <c r="E42" s="3" t="inlineStr">
        <is>
          <t>C1LG6</t>
        </is>
      </c>
      <c r="F42" t="n">
        <v>6</v>
      </c>
      <c r="G42" t="inlineStr">
        <is>
          <t>FT</t>
        </is>
      </c>
      <c r="H42" s="3" t="inlineStr">
        <is>
          <t>Light gray, snap-on cover.</t>
        </is>
      </c>
    </row>
    <row r="43">
      <c r="A43" t="n">
        <v>35</v>
      </c>
      <c r="B43" t="inlineStr"/>
      <c r="C43" s="3" t="inlineStr">
        <is>
          <t>Insulated Crimp Ferrules, 12 AWG (gray)</t>
        </is>
      </c>
      <c r="D43" s="3" t="inlineStr">
        <is>
          <t>Z+F</t>
        </is>
      </c>
      <c r="E43" s="3" t="inlineStr">
        <is>
          <t>V30AE000055</t>
        </is>
      </c>
      <c r="F43" t="n">
        <v>500</v>
      </c>
      <c r="G43" t="inlineStr">
        <is>
          <t>EA</t>
        </is>
      </c>
      <c r="H43" s="3" t="inlineStr">
        <is>
          <t>10 mm length, DIN color code. Per pack.</t>
        </is>
      </c>
    </row>
    <row r="44">
      <c r="A44" t="n">
        <v>36</v>
      </c>
      <c r="B44" t="inlineStr"/>
      <c r="C44" s="3" t="inlineStr">
        <is>
          <t>Control Wire - 18 AWG stranded Blue</t>
        </is>
      </c>
      <c r="D44" s="3" t="inlineStr">
        <is>
          <t>Various</t>
        </is>
      </c>
      <c r="E44" s="3" t="inlineStr">
        <is>
          <t>18 AWG Blue stranded</t>
        </is>
      </c>
      <c r="F44" t="n">
        <v>1</v>
      </c>
      <c r="G44" t="inlineStr">
        <is>
          <t>Roll</t>
        </is>
      </c>
      <c r="H44" s="3" t="inlineStr">
        <is>
          <t>DC control circuits per NFPA 79 §13.2.</t>
        </is>
      </c>
    </row>
    <row r="45">
      <c r="A45" t="n">
        <v>37</v>
      </c>
      <c r="B45" t="inlineStr"/>
      <c r="C45" s="3" t="inlineStr">
        <is>
          <t>Return Wire - 18 AWG White or Blue/W</t>
        </is>
      </c>
      <c r="D45" s="3" t="inlineStr">
        <is>
          <t>Various</t>
        </is>
      </c>
      <c r="E45" s="3" t="inlineStr">
        <is>
          <t>18 AWG White stranded</t>
        </is>
      </c>
      <c r="F45" t="n">
        <v>1</v>
      </c>
      <c r="G45" t="inlineStr">
        <is>
          <t>Roll</t>
        </is>
      </c>
      <c r="H45" s="3" t="inlineStr">
        <is>
          <t>DC return circuits per NFPA 79 §13.2.</t>
        </is>
      </c>
    </row>
    <row r="46">
      <c r="A46" t="n">
        <v>38</v>
      </c>
      <c r="B46" t="inlineStr"/>
      <c r="C46" s="3" t="inlineStr">
        <is>
          <t>Power Wire - 12 AWG Black</t>
        </is>
      </c>
      <c r="D46" s="3" t="inlineStr">
        <is>
          <t>Various</t>
        </is>
      </c>
      <c r="E46" s="3" t="inlineStr">
        <is>
          <t>12 AWG Black</t>
        </is>
      </c>
      <c r="F46" t="n">
        <v>1</v>
      </c>
      <c r="G46" t="inlineStr">
        <is>
          <t>Roll</t>
        </is>
      </c>
      <c r="H46" s="3" t="inlineStr">
        <is>
          <t>Motor leads (U/V/W) and AC mains.</t>
        </is>
      </c>
    </row>
    <row r="47">
      <c r="A47" t="n">
        <v>39</v>
      </c>
      <c r="B47" t="inlineStr"/>
      <c r="C47" s="3" t="inlineStr">
        <is>
          <t>Ground Wire - 12 AWG Green/Yellow</t>
        </is>
      </c>
      <c r="D47" s="3" t="inlineStr">
        <is>
          <t>Various</t>
        </is>
      </c>
      <c r="E47" s="3" t="inlineStr">
        <is>
          <t>12 AWG Green/Yellow</t>
        </is>
      </c>
      <c r="F47" t="n">
        <v>1</v>
      </c>
      <c r="G47" t="inlineStr">
        <is>
          <t>Roll</t>
        </is>
      </c>
      <c r="H47" s="3" t="inlineStr">
        <is>
          <t>Equipment grounding per NFPA 79.</t>
        </is>
      </c>
    </row>
    <row r="48">
      <c r="A48" t="n">
        <v>40</v>
      </c>
      <c r="B48" t="inlineStr"/>
      <c r="C48" s="3" t="inlineStr">
        <is>
          <t>Fuse - 500 mA fast-blow (5x20 mm)</t>
        </is>
      </c>
      <c r="D48" s="3" t="inlineStr">
        <is>
          <t>Bussmann or Littelfuse</t>
        </is>
      </c>
      <c r="E48" s="3" t="inlineStr">
        <is>
          <t>GMA-500mA or 0217.500MXP</t>
        </is>
      </c>
      <c r="F48" t="n">
        <v>1</v>
      </c>
      <c r="G48" t="inlineStr">
        <is>
          <t>EA</t>
        </is>
      </c>
      <c r="H48" s="3" t="inlineStr">
        <is>
          <t>Originally spec'd for VFD jam signal +24V; per as-built note, not currently installed (review).</t>
        </is>
      </c>
    </row>
    <row r="49">
      <c r="A49" t="n">
        <v>41</v>
      </c>
      <c r="B49" t="inlineStr"/>
      <c r="C49" s="3" t="inlineStr">
        <is>
          <t>Fuse - 1 A fast-blow (5x20 mm)</t>
        </is>
      </c>
      <c r="D49" s="3" t="inlineStr">
        <is>
          <t>Bussmann or Littelfuse</t>
        </is>
      </c>
      <c r="E49" s="3" t="inlineStr">
        <is>
          <t>GMA-1A or equiv.</t>
        </is>
      </c>
      <c r="F49" t="n">
        <v>1</v>
      </c>
      <c r="G49" t="inlineStr">
        <is>
          <t>EA</t>
        </is>
      </c>
      <c r="H49" s="3" t="inlineStr">
        <is>
          <t>Pushbutton common +24V supply protection (in EURO S4LH).</t>
        </is>
      </c>
    </row>
  </sheetData>
  <mergeCells count="7">
    <mergeCell ref="B22:H22"/>
    <mergeCell ref="B36:H36"/>
    <mergeCell ref="B40:H40"/>
    <mergeCell ref="B13:H13"/>
    <mergeCell ref="B6:H6"/>
    <mergeCell ref="B24:H24"/>
    <mergeCell ref="B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0" customWidth="1" min="3" max="3"/>
    <col width="30" customWidth="1" min="4" max="4"/>
    <col width="50" customWidth="1" min="5" max="5"/>
  </cols>
  <sheetData>
    <row r="1">
      <c r="A1" s="1" t="inlineStr">
        <is>
          <t>Item / Function</t>
        </is>
      </c>
      <c r="B1" s="1" t="inlineStr">
        <is>
          <t>Manufacturer</t>
        </is>
      </c>
      <c r="C1" s="1" t="inlineStr">
        <is>
          <t>Model / Part Number</t>
        </is>
      </c>
      <c r="D1" s="1" t="inlineStr">
        <is>
          <t>From BOM File</t>
        </is>
      </c>
      <c r="E1" s="1" t="inlineStr">
        <is>
          <t>Reason Not Used</t>
        </is>
      </c>
    </row>
    <row r="2">
      <c r="A2" s="3" t="inlineStr">
        <is>
          <t>Motor PE145TC-2-4</t>
        </is>
      </c>
      <c r="B2" s="3" t="inlineStr">
        <is>
          <t>Various</t>
        </is>
      </c>
      <c r="C2" s="3" t="inlineStr">
        <is>
          <t>PE145TC-2-4</t>
        </is>
      </c>
      <c r="D2" s="3" t="inlineStr">
        <is>
          <t>BOM_02_20_26</t>
        </is>
      </c>
      <c r="E2" s="3" t="inlineStr">
        <is>
          <t>Not used - GE 5KE182BC205B used instead for bench testing</t>
        </is>
      </c>
    </row>
    <row r="3">
      <c r="A3" s="3" t="inlineStr">
        <is>
          <t>Circuit Breaker NBE7</t>
        </is>
      </c>
      <c r="B3" s="3" t="inlineStr">
        <is>
          <t>Various</t>
        </is>
      </c>
      <c r="C3" s="3" t="inlineStr">
        <is>
          <t>NBE7</t>
        </is>
      </c>
      <c r="D3" s="3" t="inlineStr">
        <is>
          <t>BOM_1_29 / BOM_02_20_26</t>
        </is>
      </c>
      <c r="E3" s="3" t="inlineStr">
        <is>
          <t>Never purchased; Phoenix Contact TMC 8 3C 15A used instead</t>
        </is>
      </c>
    </row>
    <row r="4">
      <c r="A4" s="3" t="inlineStr">
        <is>
          <t>30 A Branch Fuse (TBD)</t>
        </is>
      </c>
      <c r="B4" s="3" t="inlineStr">
        <is>
          <t>Various</t>
        </is>
      </c>
      <c r="C4" s="3" t="inlineStr">
        <is>
          <t>30 A fuse</t>
        </is>
      </c>
      <c r="D4" s="3" t="inlineStr">
        <is>
          <t>BOM_1_29</t>
        </is>
      </c>
      <c r="E4" s="3" t="inlineStr">
        <is>
          <t>Never needed in final design</t>
        </is>
      </c>
    </row>
    <row r="5">
      <c r="A5" s="3" t="inlineStr">
        <is>
          <t>DC Power Supply 1866-1441-ND</t>
        </is>
      </c>
      <c r="B5" s="3" t="inlineStr">
        <is>
          <t>Digi-Key vendor</t>
        </is>
      </c>
      <c r="C5" s="3" t="inlineStr">
        <is>
          <t>1866-1441-ND</t>
        </is>
      </c>
      <c r="D5" s="3" t="inlineStr">
        <is>
          <t>BOM_1_29</t>
        </is>
      </c>
      <c r="E5" s="3" t="inlineStr">
        <is>
          <t>Superceded by Mean Well NDR-480-24</t>
        </is>
      </c>
    </row>
    <row r="6">
      <c r="A6" s="3" t="inlineStr">
        <is>
          <t>VEVOR 3HP 120V VFD</t>
        </is>
      </c>
      <c r="B6" s="3" t="inlineStr">
        <is>
          <t>VEVOR</t>
        </is>
      </c>
      <c r="C6" s="3" t="inlineStr">
        <is>
          <t>VEVOR 3HP 120V VFD</t>
        </is>
      </c>
      <c r="D6" s="3" t="inlineStr">
        <is>
          <t>VFD_120V_3HP_Decision_Matrix</t>
        </is>
      </c>
      <c r="E6" s="3" t="inlineStr">
        <is>
          <t>Rejected during selection (hobby-grade, limited documentation)</t>
        </is>
      </c>
    </row>
    <row r="7">
      <c r="A7" s="3" t="inlineStr">
        <is>
          <t>ATO 3HP 120V VFD</t>
        </is>
      </c>
      <c r="B7" s="3" t="inlineStr">
        <is>
          <t>ATO</t>
        </is>
      </c>
      <c r="C7" s="3" t="inlineStr">
        <is>
          <t>ATO 3HP 120V VFD</t>
        </is>
      </c>
      <c r="D7" s="3" t="inlineStr">
        <is>
          <t>VFD_120V_3HP_Decision_Matrix</t>
        </is>
      </c>
      <c r="E7" s="3" t="inlineStr">
        <is>
          <t>Too expensive ($450-500) for project budget</t>
        </is>
      </c>
    </row>
    <row r="8">
      <c r="A8" s="3" t="inlineStr">
        <is>
          <t>110V 20A 3HP VFD (generic)</t>
        </is>
      </c>
      <c r="B8" s="3" t="inlineStr">
        <is>
          <t>Generic</t>
        </is>
      </c>
      <c r="C8" s="3" t="inlineStr">
        <is>
          <t>110V 20A 3HP VFD</t>
        </is>
      </c>
      <c r="D8" s="3" t="inlineStr">
        <is>
          <t>VFD_120V_3HP_Decision_Matrix</t>
        </is>
      </c>
      <c r="E8" s="3" t="inlineStr">
        <is>
          <t>Considered but Huanyang HY02D211B-T selected</t>
        </is>
      </c>
    </row>
    <row r="9">
      <c r="A9" s="3" t="inlineStr">
        <is>
          <t>WEG Single Phase Motor</t>
        </is>
      </c>
      <c r="B9" s="3" t="inlineStr">
        <is>
          <t>WEG</t>
        </is>
      </c>
      <c r="C9" s="3" t="inlineStr">
        <is>
          <t>WEG Single Phase 3HP</t>
        </is>
      </c>
      <c r="D9" s="3" t="inlineStr">
        <is>
          <t>Motor Spec</t>
        </is>
      </c>
      <c r="E9" s="3" t="inlineStr">
        <is>
          <t>Considered but GE 5KE182BC205B used for bench</t>
        </is>
      </c>
    </row>
    <row r="10">
      <c r="A10" s="3" t="inlineStr">
        <is>
          <t>Worldwide Electric NT3-18-213T</t>
        </is>
      </c>
      <c r="B10" s="3" t="inlineStr">
        <is>
          <t>Worldwide Electric</t>
        </is>
      </c>
      <c r="C10" s="3" t="inlineStr">
        <is>
          <t>NT3-18-213T</t>
        </is>
      </c>
      <c r="D10" s="3" t="inlineStr">
        <is>
          <t>Motor Spec</t>
        </is>
      </c>
      <c r="E10" s="3" t="inlineStr">
        <is>
          <t>Considered but not purchased</t>
        </is>
      </c>
    </row>
    <row r="11">
      <c r="A11" s="3" t="inlineStr">
        <is>
          <t>VEVOR High Torque Motor</t>
        </is>
      </c>
      <c r="B11" s="3" t="inlineStr">
        <is>
          <t>VEVOR</t>
        </is>
      </c>
      <c r="C11" s="3" t="inlineStr">
        <is>
          <t>VEVOR 5HP 230V</t>
        </is>
      </c>
      <c r="D11" s="3" t="inlineStr">
        <is>
          <t>Motor Spec</t>
        </is>
      </c>
      <c r="E11" s="3" t="inlineStr">
        <is>
          <t>Considered but not purchased</t>
        </is>
      </c>
    </row>
    <row r="12">
      <c r="A12" s="3" t="inlineStr">
        <is>
          <t>TECO L510 VFD</t>
        </is>
      </c>
      <c r="B12" s="3" t="inlineStr">
        <is>
          <t>TECO</t>
        </is>
      </c>
      <c r="C12" s="3" t="inlineStr">
        <is>
          <t>L510 (2HP and 3HP)</t>
        </is>
      </c>
      <c r="D12" s="3" t="inlineStr">
        <is>
          <t>Motor Spec</t>
        </is>
      </c>
      <c r="E12" s="3" t="inlineStr">
        <is>
          <t>Considered but Huanyang selected</t>
        </is>
      </c>
    </row>
    <row r="13">
      <c r="A13" s="3" t="inlineStr">
        <is>
          <t>Marathon G0532 Gearmotor</t>
        </is>
      </c>
      <c r="B13" s="3" t="inlineStr">
        <is>
          <t>Marathon</t>
        </is>
      </c>
      <c r="C13" s="3" t="inlineStr">
        <is>
          <t>G0532</t>
        </is>
      </c>
      <c r="D13" s="3" t="inlineStr">
        <is>
          <t>Motor Spec</t>
        </is>
      </c>
      <c r="E13" s="3" t="inlineStr">
        <is>
          <t>Considered but not purchased</t>
        </is>
      </c>
    </row>
    <row r="14">
      <c r="A14" s="3" t="inlineStr">
        <is>
          <t>KB Electronics KBWC-15K</t>
        </is>
      </c>
      <c r="B14" s="3" t="inlineStr">
        <is>
          <t>KB Electronics</t>
        </is>
      </c>
      <c r="C14" s="3" t="inlineStr">
        <is>
          <t>KBWC-15K</t>
        </is>
      </c>
      <c r="D14" s="3" t="inlineStr">
        <is>
          <t>Motor Spec</t>
        </is>
      </c>
      <c r="E14" s="3" t="inlineStr">
        <is>
          <t>Considered (triac speed control) but VFD approach used instead</t>
        </is>
      </c>
    </row>
    <row r="15">
      <c r="A15" s="3" t="inlineStr">
        <is>
          <t>Capacitive Touch Sensor TTP223B</t>
        </is>
      </c>
      <c r="B15" s="3" t="inlineStr">
        <is>
          <t>Various</t>
        </is>
      </c>
      <c r="C15" s="3" t="inlineStr">
        <is>
          <t>TTP223B</t>
        </is>
      </c>
      <c r="D15" s="3" t="inlineStr">
        <is>
          <t>BOM_1_30_beta (safety draft)</t>
        </is>
      </c>
      <c r="E15" s="3" t="inlineStr">
        <is>
          <t>Does not meet industrial standards</t>
        </is>
      </c>
    </row>
    <row r="16">
      <c r="A16" s="3" t="inlineStr">
        <is>
          <t>Capacitive Touch Sensor CAP1293</t>
        </is>
      </c>
      <c r="B16" s="3" t="inlineStr">
        <is>
          <t>Microchip</t>
        </is>
      </c>
      <c r="C16" s="3" t="inlineStr">
        <is>
          <t>CAP1293-1-SN</t>
        </is>
      </c>
      <c r="D16" s="3" t="inlineStr">
        <is>
          <t>BOM_1_30_beta (safety draft)</t>
        </is>
      </c>
      <c r="E16" s="3" t="inlineStr">
        <is>
          <t>Chip only, needs interface board</t>
        </is>
      </c>
    </row>
    <row r="17">
      <c r="A17" s="3" t="inlineStr">
        <is>
          <t>Capacitive Proximity Sensor 1864-1032-ND</t>
        </is>
      </c>
      <c r="B17" s="3" t="inlineStr">
        <is>
          <t>various</t>
        </is>
      </c>
      <c r="C17" s="3" t="inlineStr">
        <is>
          <t>1864-1032-ND</t>
        </is>
      </c>
      <c r="D17" s="3" t="inlineStr">
        <is>
          <t>BOM_1_30_beta (safety draft)</t>
        </is>
      </c>
      <c r="E17" s="3" t="inlineStr">
        <is>
          <t>Too expensive ($109.25)</t>
        </is>
      </c>
    </row>
    <row r="18">
      <c r="A18" s="3" t="inlineStr">
        <is>
          <t>Magnetic Non-Contact Safety Sensor F3S-TGR</t>
        </is>
      </c>
      <c r="B18" s="3" t="inlineStr">
        <is>
          <t>Omron</t>
        </is>
      </c>
      <c r="C18" s="3" t="inlineStr">
        <is>
          <t>F3S-TGR-NMPC-21-10</t>
        </is>
      </c>
      <c r="D18" s="3" t="inlineStr">
        <is>
          <t>BOM_1_30_beta (safety draft)</t>
        </is>
      </c>
      <c r="E18" s="3" t="inlineStr">
        <is>
          <t>Too expensive; out of stock at retailers</t>
        </is>
      </c>
    </row>
    <row r="19">
      <c r="A19" s="3" t="inlineStr">
        <is>
          <t>RFID Safety Sensor RSS 36-I2-D</t>
        </is>
      </c>
      <c r="B19" s="3" t="inlineStr">
        <is>
          <t>Schmersal</t>
        </is>
      </c>
      <c r="C19" s="3" t="inlineStr">
        <is>
          <t>RSS 36-I2-D-R-ST5</t>
        </is>
      </c>
      <c r="D19" s="3" t="inlineStr">
        <is>
          <t>BOM_1_30_beta (safety draft)</t>
        </is>
      </c>
      <c r="E19" s="3" t="inlineStr">
        <is>
          <t>Suspected non-retail / industrial-only</t>
        </is>
      </c>
    </row>
    <row r="20">
      <c r="A20" s="3" t="inlineStr">
        <is>
          <t>Safety Light Curtain F3SG-SR / PG</t>
        </is>
      </c>
      <c r="B20" s="3" t="inlineStr">
        <is>
          <t>Omron</t>
        </is>
      </c>
      <c r="C20" s="3" t="inlineStr">
        <is>
          <t>F3SG-SR / PG</t>
        </is>
      </c>
      <c r="D20" s="3" t="inlineStr">
        <is>
          <t>BOM_1_30_beta (safety draft)</t>
        </is>
      </c>
      <c r="E20" s="3" t="inlineStr">
        <is>
          <t>Out of scope for capstone budget</t>
        </is>
      </c>
    </row>
    <row r="21">
      <c r="A21" s="3" t="inlineStr">
        <is>
          <t>Ichor-provided Red/Green Lights</t>
        </is>
      </c>
      <c r="B21" s="3" t="inlineStr">
        <is>
          <t>Ichor (sponsor)</t>
        </is>
      </c>
      <c r="C21" s="3" t="inlineStr">
        <is>
          <t>Ichor-provided</t>
        </is>
      </c>
      <c r="D21" s="3" t="inlineStr">
        <is>
          <t>BOM_02_20_26</t>
        </is>
      </c>
      <c r="E21" s="3" t="inlineStr">
        <is>
          <t>Not applicable - Wamco 525 used as fault light; button LEDs provide ready/run indication</t>
        </is>
      </c>
    </row>
    <row r="22">
      <c r="A22" s="3" t="inlineStr">
        <is>
          <t>Ichor-provided E-stop</t>
        </is>
      </c>
      <c r="B22" s="3" t="inlineStr">
        <is>
          <t>Ichor (sponsor)</t>
        </is>
      </c>
      <c r="C22" s="3" t="inlineStr">
        <is>
          <t>Ichor-provided</t>
        </is>
      </c>
      <c r="D22" s="3" t="inlineStr">
        <is>
          <t>BOM_02_20_26</t>
        </is>
      </c>
      <c r="E22" s="3" t="inlineStr">
        <is>
          <t>Replaced with Cutler-Hammer/Eaton E22B1 procured by team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8" customWidth="1" min="5" max="5"/>
    <col width="16" customWidth="1" min="6" max="6"/>
    <col width="12" customWidth="1" min="7" max="7"/>
    <col width="60" customWidth="1" min="8" max="8"/>
  </cols>
  <sheetData>
    <row r="1">
      <c r="A1" s="1" t="inlineStr">
        <is>
          <t>Option</t>
        </is>
      </c>
      <c r="B1" s="1" t="inlineStr">
        <is>
          <t>Price Score (50%)</t>
        </is>
      </c>
      <c r="C1" s="1" t="inlineStr">
        <is>
          <t>Current Capability (20%)</t>
        </is>
      </c>
      <c r="D1" s="1" t="inlineStr">
        <is>
          <t>Build Quality (15%)</t>
        </is>
      </c>
      <c r="E1" s="1" t="inlineStr">
        <is>
          <t>Documentation / Support (10%)</t>
        </is>
      </c>
      <c r="F1" s="1" t="inlineStr">
        <is>
          <t>Brand / Reliability (5%)</t>
        </is>
      </c>
      <c r="G1" s="1" t="inlineStr">
        <is>
          <t>Total Score</t>
        </is>
      </c>
      <c r="H1" s="1" t="inlineStr">
        <is>
          <t>Notes</t>
        </is>
      </c>
    </row>
    <row r="2">
      <c r="A2" s="3" t="inlineStr">
        <is>
          <t>VEVOR 3HP 120V VFD</t>
        </is>
      </c>
      <c r="B2" s="3" t="n">
        <v>9</v>
      </c>
      <c r="C2" s="3" t="n">
        <v>6</v>
      </c>
      <c r="D2" s="3" t="n">
        <v>5</v>
      </c>
      <c r="E2" s="3" t="n">
        <v>4</v>
      </c>
      <c r="F2" s="3" t="n">
        <v>4</v>
      </c>
      <c r="G2" s="3">
        <f>B2*0.5+C2*0.2+D2*0.15+E2*0.1+F2*0.05</f>
        <v/>
      </c>
      <c r="H2" s="3" t="inlineStr">
        <is>
          <t>Lowest cost ($70-95). Hobby-grade, limited docs.</t>
        </is>
      </c>
    </row>
    <row r="3">
      <c r="A3" s="3" t="inlineStr">
        <is>
          <t>110V 20A 3HP VFD (generic)</t>
        </is>
      </c>
      <c r="B3" s="3" t="n">
        <v>8</v>
      </c>
      <c r="C3" s="3" t="n">
        <v>7</v>
      </c>
      <c r="D3" s="3" t="n">
        <v>6</v>
      </c>
      <c r="E3" s="3" t="n">
        <v>5</v>
      </c>
      <c r="F3" s="3" t="n">
        <v>5</v>
      </c>
      <c r="G3" s="3">
        <f>B3*0.5+C3*0.2+D3*0.15+E3*0.1+F3*0.05</f>
        <v/>
      </c>
      <c r="H3" s="3" t="inlineStr">
        <is>
          <t>Best balance ($130-150). Good for 20A circuits.</t>
        </is>
      </c>
    </row>
    <row r="4">
      <c r="A4" s="3" t="inlineStr">
        <is>
          <t>Huanyang 3HP VFD (HY02D211B-T) - SELECTED</t>
        </is>
      </c>
      <c r="B4" s="3" t="n">
        <v>7</v>
      </c>
      <c r="C4" s="3" t="n">
        <v>7</v>
      </c>
      <c r="D4" s="3" t="n">
        <v>6</v>
      </c>
      <c r="E4" s="3" t="n">
        <v>5</v>
      </c>
      <c r="F4" s="3" t="n">
        <v>5</v>
      </c>
      <c r="G4" s="3">
        <f>B4*0.5+C4*0.2+D4*0.15+E4*0.1+F4*0.05</f>
        <v/>
      </c>
      <c r="H4" s="3" t="inlineStr">
        <is>
          <t>Common CNC choice ($120-200). Selected for project.</t>
        </is>
      </c>
    </row>
    <row r="5">
      <c r="A5" s="3" t="inlineStr">
        <is>
          <t>ATO 3HP 120V VFD</t>
        </is>
      </c>
      <c r="B5" s="3" t="n">
        <v>5</v>
      </c>
      <c r="C5" s="3" t="n">
        <v>9</v>
      </c>
      <c r="D5" s="3" t="n">
        <v>8</v>
      </c>
      <c r="E5" s="3" t="n">
        <v>7</v>
      </c>
      <c r="F5" s="3" t="n">
        <v>7</v>
      </c>
      <c r="G5" s="3">
        <f>B5*0.5+C5*0.2+D5*0.15+E5*0.1+F5*0.05</f>
        <v/>
      </c>
      <c r="H5" s="3" t="inlineStr">
        <is>
          <t>Higher quality but too expensive ($450-500).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2026-06-01T22:48:34Z</dcterms:created>
  <dcterms:modified xmlns:dcterms="http://purl.org/dc/terms/" xmlns:xsi="http://www.w3.org/2001/XMLSchema-instance" xsi:type="dcterms:W3CDTF">2026-06-01T22:48:34Z</dcterms:modified>
</cp:coreProperties>
</file>